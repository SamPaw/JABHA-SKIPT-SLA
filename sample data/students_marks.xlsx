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Master (Sem 1-6)" sheetId="1" state="visible" r:id="rId1"/>
    <sheet name="Semester-wise Backlog Tracker" sheetId="2" state="visible" r:id="rId2"/>
    <sheet name="Semesters 1-3 Subject Marks" sheetId="3" state="visible" r:id="rId3"/>
    <sheet name="Semesters 4-6 Subject 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0E0E0"/>
      <sz val="11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1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b val="1"/>
      <color rgb="001B365D"/>
      <sz val="12"/>
    </font>
  </fonts>
  <fills count="1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F5597"/>
        <bgColor rgb="002F5597"/>
      </patternFill>
    </fill>
    <fill>
      <patternFill patternType="solid">
        <fgColor rgb="00337AB7"/>
        <bgColor rgb="00337AB7"/>
      </patternFill>
    </fill>
    <fill>
      <patternFill patternType="solid">
        <fgColor rgb="002E8B57"/>
        <bgColor rgb="002E8B57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D66011"/>
        <bgColor rgb="00D66011"/>
      </patternFill>
    </fill>
    <fill>
      <patternFill patternType="solid">
        <fgColor rgb="007B4B94"/>
        <bgColor rgb="007B4B94"/>
      </patternFill>
    </fill>
    <fill>
      <patternFill patternType="solid">
        <fgColor rgb="001F497D"/>
        <bgColor rgb="001F497D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  <fill>
      <patternFill patternType="solid">
        <fgColor rgb="00F9FAFC"/>
        <bgColor rgb="00F9FAFC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2F5597"/>
      </top>
      <bottom style="medium">
        <color rgb="002F5597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double">
        <color rgb="002F5597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3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3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3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right" vertical="center"/>
    </xf>
    <xf numFmtId="10" fontId="6" fillId="11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/>
    </xf>
    <xf numFmtId="0" fontId="5" fillId="13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right" vertical="center"/>
    </xf>
    <xf numFmtId="10" fontId="6" fillId="13" borderId="2" applyAlignment="1" pivotButton="0" quotePrefix="0" xfId="0">
      <alignment horizontal="right" vertical="center"/>
    </xf>
    <xf numFmtId="0" fontId="8" fillId="14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6" fillId="16" borderId="3" applyAlignment="1" pivotButton="0" quotePrefix="0" xfId="0">
      <alignment horizontal="center" vertical="center"/>
    </xf>
    <xf numFmtId="0" fontId="0" fillId="16" borderId="3" pivotButton="0" quotePrefix="0" xfId="0"/>
    <xf numFmtId="164" fontId="6" fillId="16" borderId="3" applyAlignment="1" pivotButton="0" quotePrefix="0" xfId="0">
      <alignment horizontal="center" vertical="center"/>
    </xf>
    <xf numFmtId="164" fontId="6" fillId="16" borderId="3" applyAlignment="1" pivotButton="0" quotePrefix="0" xfId="0">
      <alignment horizontal="right" vertical="center"/>
    </xf>
    <xf numFmtId="10" fontId="6" fillId="16" borderId="3" applyAlignment="1" pivotButton="0" quotePrefix="0" xfId="0">
      <alignment horizontal="right" vertical="center"/>
    </xf>
    <xf numFmtId="0" fontId="0" fillId="16" borderId="3" applyAlignment="1" pivotButton="0" quotePrefix="0" xfId="0">
      <alignment horizontal="center" vertical="center"/>
    </xf>
    <xf numFmtId="0" fontId="10" fillId="0" borderId="0" pivotButton="0" quotePrefix="0" xfId="0"/>
    <xf numFmtId="0" fontId="5" fillId="11" borderId="2" pivotButton="0" quotePrefix="0" xfId="0"/>
    <xf numFmtId="0" fontId="6" fillId="11" borderId="2" applyAlignment="1" pivotButton="0" quotePrefix="0" xfId="0">
      <alignment horizontal="center" vertical="center"/>
    </xf>
    <xf numFmtId="0" fontId="6" fillId="11" borderId="2" pivotButton="0" quotePrefix="0" xfId="0"/>
    <xf numFmtId="0" fontId="5" fillId="11" borderId="2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5" fillId="11" borderId="2" applyAlignment="1" pivotButton="0" quotePrefix="0" xfId="0">
      <alignment horizontal="right" vertical="center"/>
    </xf>
    <xf numFmtId="0" fontId="7" fillId="11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right" vertical="center"/>
    </xf>
    <xf numFmtId="0" fontId="7" fillId="13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6" customWidth="1" min="4" max="4"/>
    <col width="16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8" customWidth="1" min="24" max="24"/>
    <col width="14" customWidth="1" min="25" max="25"/>
    <col width="16" customWidth="1" min="26" max="26"/>
    <col width="28" customWidth="1" min="27" max="27"/>
    <col width="24" customWidth="1" min="28" max="28"/>
  </cols>
  <sheetData>
    <row r="1" ht="28" customHeight="1">
      <c r="A1" s="1" t="inlineStr">
        <is>
          <t>DEPARTMENT OF COMPUTER SCIENCE &amp; ENGINEERING | 6-SEMESTER ACADEMIC RECORD</t>
        </is>
      </c>
    </row>
    <row r="2" ht="20" customHeight="1">
      <c r="A2" s="2" t="inlineStr">
        <is>
          <t>Consolidated Marksheet &amp; ATKT Assessment (Batch 2025–2029 | 50 Students | Passing: 30/100 | Max 3 Backlogs for ATKT)</t>
        </is>
      </c>
    </row>
    <row r="3" ht="8" customHeight="1"/>
    <row r="4" ht="24" customHeight="1">
      <c r="A4" s="3" t="inlineStr">
        <is>
          <t>STUDENT PARTICULARS</t>
        </is>
      </c>
      <c r="B4" s="4" t="n"/>
      <c r="C4" s="4" t="n"/>
      <c r="D4" s="4" t="n"/>
      <c r="E4" s="4" t="n"/>
      <c r="F4" s="5" t="inlineStr">
        <is>
          <t>SEMESTER 1 (MAX 100)</t>
        </is>
      </c>
      <c r="G4" s="6" t="n"/>
      <c r="H4" s="6" t="n"/>
      <c r="I4" s="7" t="inlineStr">
        <is>
          <t>SEMESTER 2 (MAX 100)</t>
        </is>
      </c>
      <c r="J4" s="8" t="n"/>
      <c r="K4" s="8" t="n"/>
      <c r="L4" s="9" t="inlineStr">
        <is>
          <t>SEMESTER 3 (MAX 100)</t>
        </is>
      </c>
      <c r="M4" s="10" t="n"/>
      <c r="N4" s="10" t="n"/>
      <c r="O4" s="11" t="inlineStr">
        <is>
          <t>SEMESTER 4 (MAX 100)</t>
        </is>
      </c>
      <c r="P4" s="12" t="n"/>
      <c r="Q4" s="12" t="n"/>
      <c r="R4" s="13" t="inlineStr">
        <is>
          <t>SEMESTER 5 (MAX 100)</t>
        </is>
      </c>
      <c r="S4" s="14" t="n"/>
      <c r="T4" s="14" t="n"/>
      <c r="U4" s="15" t="inlineStr">
        <is>
          <t>SEMESTER 6 (MAX 100)</t>
        </is>
      </c>
      <c r="V4" s="16" t="n"/>
      <c r="W4" s="16" t="n"/>
      <c r="X4" s="17" t="inlineStr">
        <is>
          <t>CONSOLIDATED EVALUATION &amp; ATKT STATUS</t>
        </is>
      </c>
      <c r="Y4" s="18" t="n"/>
      <c r="Z4" s="18" t="n"/>
      <c r="AA4" s="18" t="n"/>
      <c r="AB4" s="18" t="n"/>
    </row>
    <row r="5" ht="24" customHeight="1">
      <c r="A5" s="19" t="inlineStr">
        <is>
          <t>Roll No.</t>
        </is>
      </c>
      <c r="B5" s="20" t="inlineStr">
        <is>
          <t>Student Name</t>
        </is>
      </c>
      <c r="C5" s="20" t="inlineStr">
        <is>
          <t>Branch</t>
        </is>
      </c>
      <c r="D5" s="19" t="inlineStr">
        <is>
          <t>Admission Year</t>
        </is>
      </c>
      <c r="E5" s="19" t="inlineStr">
        <is>
          <t>Graduation Year</t>
        </is>
      </c>
      <c r="F5" s="21" t="inlineStr">
        <is>
          <t>OS</t>
        </is>
      </c>
      <c r="G5" s="21" t="inlineStr">
        <is>
          <t>JS</t>
        </is>
      </c>
      <c r="H5" s="21" t="inlineStr">
        <is>
          <t>DSA</t>
        </is>
      </c>
      <c r="I5" s="22" t="inlineStr">
        <is>
          <t>DBMS</t>
        </is>
      </c>
      <c r="J5" s="22" t="inlineStr">
        <is>
          <t>CN</t>
        </is>
      </c>
      <c r="K5" s="22" t="inlineStr">
        <is>
          <t>OOP</t>
        </is>
      </c>
      <c r="L5" s="23" t="inlineStr">
        <is>
          <t>DAA</t>
        </is>
      </c>
      <c r="M5" s="23" t="inlineStr">
        <is>
          <t>SE</t>
        </is>
      </c>
      <c r="N5" s="23" t="inlineStr">
        <is>
          <t>TOC</t>
        </is>
      </c>
      <c r="O5" s="24" t="inlineStr">
        <is>
          <t>COA</t>
        </is>
      </c>
      <c r="P5" s="24" t="inlineStr">
        <is>
          <t>WT</t>
        </is>
      </c>
      <c r="Q5" s="24" t="inlineStr">
        <is>
          <t>MP</t>
        </is>
      </c>
      <c r="R5" s="25" t="inlineStr">
        <is>
          <t>AI</t>
        </is>
      </c>
      <c r="S5" s="25" t="inlineStr">
        <is>
          <t>CC</t>
        </is>
      </c>
      <c r="T5" s="25" t="inlineStr">
        <is>
          <t>IS</t>
        </is>
      </c>
      <c r="U5" s="26" t="inlineStr">
        <is>
          <t>CD</t>
        </is>
      </c>
      <c r="V5" s="26" t="inlineStr">
        <is>
          <t>BDA</t>
        </is>
      </c>
      <c r="W5" s="26" t="inlineStr">
        <is>
          <t>DS</t>
        </is>
      </c>
      <c r="X5" s="27" t="inlineStr">
        <is>
          <t>Total Marks (1800)</t>
        </is>
      </c>
      <c r="Y5" s="27" t="inlineStr">
        <is>
          <t>Percentage</t>
        </is>
      </c>
      <c r="Z5" s="28" t="inlineStr">
        <is>
          <t>Total Backlogs</t>
        </is>
      </c>
      <c r="AA5" s="28" t="inlineStr">
        <is>
          <t>ATKT Eligibility</t>
        </is>
      </c>
      <c r="AB5" s="28" t="inlineStr">
        <is>
          <t>Final Result</t>
        </is>
      </c>
    </row>
    <row r="6" ht="20" customHeight="1">
      <c r="A6" s="29" t="inlineStr">
        <is>
          <t>2025CS001</t>
        </is>
      </c>
      <c r="B6" s="30" t="inlineStr">
        <is>
          <t>Aarav Sharma</t>
        </is>
      </c>
      <c r="C6" s="30" t="inlineStr">
        <is>
          <t>Computer Science &amp; Engineering</t>
        </is>
      </c>
      <c r="D6" s="29" t="n">
        <v>2025</v>
      </c>
      <c r="E6" s="29" t="n">
        <v>2029</v>
      </c>
      <c r="F6" s="31" t="n">
        <v>78</v>
      </c>
      <c r="G6" s="31" t="n">
        <v>85</v>
      </c>
      <c r="H6" s="31" t="n">
        <v>72</v>
      </c>
      <c r="I6" s="31" t="n">
        <v>82</v>
      </c>
      <c r="J6" s="31" t="n">
        <v>88</v>
      </c>
      <c r="K6" s="31" t="n">
        <v>79</v>
      </c>
      <c r="L6" s="31" t="n">
        <v>77</v>
      </c>
      <c r="M6" s="31" t="n">
        <v>74</v>
      </c>
      <c r="N6" s="31" t="n">
        <v>93</v>
      </c>
      <c r="O6" s="31" t="n">
        <v>73</v>
      </c>
      <c r="P6" s="31" t="n">
        <v>91</v>
      </c>
      <c r="Q6" s="31" t="n">
        <v>93</v>
      </c>
      <c r="R6" s="31" t="n">
        <v>98</v>
      </c>
      <c r="S6" s="31" t="n">
        <v>87</v>
      </c>
      <c r="T6" s="31" t="n">
        <v>72</v>
      </c>
      <c r="U6" s="31" t="n">
        <v>88</v>
      </c>
      <c r="V6" s="31" t="n">
        <v>83</v>
      </c>
      <c r="W6" s="31" t="n">
        <v>71</v>
      </c>
      <c r="X6" s="32">
        <f>SUM(F6:W6)</f>
        <v/>
      </c>
      <c r="Y6" s="33">
        <f>ROUND(X6/1800, 4)</f>
        <v/>
      </c>
      <c r="Z6" s="34">
        <f>COUNTIF(F6:W6, "&lt;30")</f>
        <v/>
      </c>
      <c r="AA6" s="34">
        <f>IF(Z6=0, "Not Applicable (Passed All)", IF(Z6&lt;=3, "YES - Eligible for ATKT", "NO - Ineligible (&gt; 3 Backlogs)"))</f>
        <v/>
      </c>
      <c r="AB6" s="35">
        <f>IF(Z6=0, "PASS", IF(Z6&lt;=3, "PROMOTED WITH ATKT", "FAIL (YEAR DOWN)"))</f>
        <v/>
      </c>
    </row>
    <row r="7" ht="20" customHeight="1">
      <c r="A7" s="36" t="inlineStr">
        <is>
          <t>2025CS002</t>
        </is>
      </c>
      <c r="B7" s="37" t="inlineStr">
        <is>
          <t>Diya Patel</t>
        </is>
      </c>
      <c r="C7" s="37" t="inlineStr">
        <is>
          <t>Information Technology</t>
        </is>
      </c>
      <c r="D7" s="36" t="n">
        <v>2025</v>
      </c>
      <c r="E7" s="36" t="n">
        <v>2029</v>
      </c>
      <c r="F7" s="38" t="n">
        <v>65</v>
      </c>
      <c r="G7" s="38" t="n">
        <v>74</v>
      </c>
      <c r="H7" s="38" t="n">
        <v>58</v>
      </c>
      <c r="I7" s="38" t="n">
        <v>70</v>
      </c>
      <c r="J7" s="38" t="n">
        <v>68</v>
      </c>
      <c r="K7" s="38" t="n">
        <v>62</v>
      </c>
      <c r="L7" s="38" t="n">
        <v>70</v>
      </c>
      <c r="M7" s="38" t="n">
        <v>87</v>
      </c>
      <c r="N7" s="38" t="n">
        <v>76</v>
      </c>
      <c r="O7" s="38" t="n">
        <v>92</v>
      </c>
      <c r="P7" s="38" t="n">
        <v>90</v>
      </c>
      <c r="Q7" s="38" t="n">
        <v>92</v>
      </c>
      <c r="R7" s="38" t="n">
        <v>87</v>
      </c>
      <c r="S7" s="38" t="n">
        <v>83</v>
      </c>
      <c r="T7" s="38" t="n">
        <v>77</v>
      </c>
      <c r="U7" s="38" t="n">
        <v>84</v>
      </c>
      <c r="V7" s="38" t="n">
        <v>88</v>
      </c>
      <c r="W7" s="38" t="n">
        <v>78</v>
      </c>
      <c r="X7" s="39">
        <f>SUM(F7:W7)</f>
        <v/>
      </c>
      <c r="Y7" s="40">
        <f>ROUND(X7/1800, 4)</f>
        <v/>
      </c>
      <c r="Z7" s="34">
        <f>COUNTIF(F7:W7, "&lt;30")</f>
        <v/>
      </c>
      <c r="AA7" s="34">
        <f>IF(Z7=0, "Not Applicable (Passed All)", IF(Z7&lt;=3, "YES - Eligible for ATKT", "NO - Ineligible (&gt; 3 Backlogs)"))</f>
        <v/>
      </c>
      <c r="AB7" s="35">
        <f>IF(Z7=0, "PASS", IF(Z7&lt;=3, "PROMOTED WITH ATKT", "FAIL (YEAR DOWN)"))</f>
        <v/>
      </c>
    </row>
    <row r="8" ht="20" customHeight="1">
      <c r="A8" s="29" t="inlineStr">
        <is>
          <t>2025CS003</t>
        </is>
      </c>
      <c r="B8" s="30" t="inlineStr">
        <is>
          <t>Rohan Verma</t>
        </is>
      </c>
      <c r="C8" s="30" t="inlineStr">
        <is>
          <t>Computer Science &amp; Engineering</t>
        </is>
      </c>
      <c r="D8" s="29" t="n">
        <v>2025</v>
      </c>
      <c r="E8" s="29" t="n">
        <v>2029</v>
      </c>
      <c r="F8" s="41" t="n">
        <v>24</v>
      </c>
      <c r="G8" s="31" t="n">
        <v>62</v>
      </c>
      <c r="H8" s="31" t="n">
        <v>55</v>
      </c>
      <c r="I8" s="31" t="n">
        <v>45</v>
      </c>
      <c r="J8" s="31" t="n">
        <v>58</v>
      </c>
      <c r="K8" s="31" t="n">
        <v>60</v>
      </c>
      <c r="L8" s="31" t="n">
        <v>44</v>
      </c>
      <c r="M8" s="31" t="n">
        <v>48</v>
      </c>
      <c r="N8" s="31" t="n">
        <v>56</v>
      </c>
      <c r="O8" s="31" t="n">
        <v>41</v>
      </c>
      <c r="P8" s="31" t="n">
        <v>40</v>
      </c>
      <c r="Q8" s="31" t="n">
        <v>59</v>
      </c>
      <c r="R8" s="31" t="n">
        <v>41</v>
      </c>
      <c r="S8" s="31" t="n">
        <v>57</v>
      </c>
      <c r="T8" s="31" t="n">
        <v>57</v>
      </c>
      <c r="U8" s="31" t="n">
        <v>73</v>
      </c>
      <c r="V8" s="31" t="n">
        <v>51</v>
      </c>
      <c r="W8" s="31" t="n">
        <v>37</v>
      </c>
      <c r="X8" s="32">
        <f>SUM(F8:W8)</f>
        <v/>
      </c>
      <c r="Y8" s="33">
        <f>ROUND(X8/1800, 4)</f>
        <v/>
      </c>
      <c r="Z8" s="41">
        <f>COUNTIF(F8:W8, "&lt;30")</f>
        <v/>
      </c>
      <c r="AA8" s="42">
        <f>IF(Z8=0, "Not Applicable (Passed All)", IF(Z8&lt;=3, "YES - Eligible for ATKT", "NO - Ineligible (&gt; 3 Backlogs)"))</f>
        <v/>
      </c>
      <c r="AB8" s="42">
        <f>IF(Z8=0, "PASS", IF(Z8&lt;=3, "PROMOTED WITH ATKT", "FAIL (YEAR DOWN)"))</f>
        <v/>
      </c>
    </row>
    <row r="9" ht="20" customHeight="1">
      <c r="A9" s="36" t="inlineStr">
        <is>
          <t>2025CS004</t>
        </is>
      </c>
      <c r="B9" s="37" t="inlineStr">
        <is>
          <t>Ananya Iyer</t>
        </is>
      </c>
      <c r="C9" s="37" t="inlineStr">
        <is>
          <t>Artificial Intelligence &amp; DS</t>
        </is>
      </c>
      <c r="D9" s="36" t="n">
        <v>2025</v>
      </c>
      <c r="E9" s="36" t="n">
        <v>2029</v>
      </c>
      <c r="F9" s="38" t="n">
        <v>88</v>
      </c>
      <c r="G9" s="38" t="n">
        <v>92</v>
      </c>
      <c r="H9" s="38" t="n">
        <v>90</v>
      </c>
      <c r="I9" s="38" t="n">
        <v>85</v>
      </c>
      <c r="J9" s="38" t="n">
        <v>95</v>
      </c>
      <c r="K9" s="38" t="n">
        <v>91</v>
      </c>
      <c r="L9" s="38" t="n">
        <v>87</v>
      </c>
      <c r="M9" s="38" t="n">
        <v>79</v>
      </c>
      <c r="N9" s="38" t="n">
        <v>96</v>
      </c>
      <c r="O9" s="38" t="n">
        <v>90</v>
      </c>
      <c r="P9" s="38" t="n">
        <v>89</v>
      </c>
      <c r="Q9" s="38" t="n">
        <v>98</v>
      </c>
      <c r="R9" s="38" t="n">
        <v>97</v>
      </c>
      <c r="S9" s="38" t="n">
        <v>81</v>
      </c>
      <c r="T9" s="38" t="n">
        <v>88</v>
      </c>
      <c r="U9" s="38" t="n">
        <v>76</v>
      </c>
      <c r="V9" s="38" t="n">
        <v>92</v>
      </c>
      <c r="W9" s="38" t="n">
        <v>72</v>
      </c>
      <c r="X9" s="39">
        <f>SUM(F9:W9)</f>
        <v/>
      </c>
      <c r="Y9" s="40">
        <f>ROUND(X9/1800, 4)</f>
        <v/>
      </c>
      <c r="Z9" s="34">
        <f>COUNTIF(F9:W9, "&lt;30")</f>
        <v/>
      </c>
      <c r="AA9" s="34">
        <f>IF(Z9=0, "Not Applicable (Passed All)", IF(Z9&lt;=3, "YES - Eligible for ATKT", "NO - Ineligible (&gt; 3 Backlogs)"))</f>
        <v/>
      </c>
      <c r="AB9" s="35">
        <f>IF(Z9=0, "PASS", IF(Z9&lt;=3, "PROMOTED WITH ATKT", "FAIL (YEAR DOWN)"))</f>
        <v/>
      </c>
    </row>
    <row r="10" ht="20" customHeight="1">
      <c r="A10" s="29" t="inlineStr">
        <is>
          <t>2025CS005</t>
        </is>
      </c>
      <c r="B10" s="30" t="inlineStr">
        <is>
          <t>Ishaan Nair</t>
        </is>
      </c>
      <c r="C10" s="30" t="inlineStr">
        <is>
          <t>Computer Science &amp; Engineering</t>
        </is>
      </c>
      <c r="D10" s="29" t="n">
        <v>2025</v>
      </c>
      <c r="E10" s="29" t="n">
        <v>2029</v>
      </c>
      <c r="F10" s="41" t="n">
        <v>22</v>
      </c>
      <c r="G10" s="41" t="n">
        <v>28</v>
      </c>
      <c r="H10" s="31" t="n">
        <v>45</v>
      </c>
      <c r="I10" s="31" t="n">
        <v>35</v>
      </c>
      <c r="J10" s="31" t="n">
        <v>40</v>
      </c>
      <c r="K10" s="31" t="n">
        <v>50</v>
      </c>
      <c r="L10" s="31" t="n">
        <v>41</v>
      </c>
      <c r="M10" s="31" t="n">
        <v>59</v>
      </c>
      <c r="N10" s="31" t="n">
        <v>52</v>
      </c>
      <c r="O10" s="31" t="n">
        <v>64</v>
      </c>
      <c r="P10" s="31" t="n">
        <v>75</v>
      </c>
      <c r="Q10" s="31" t="n">
        <v>58</v>
      </c>
      <c r="R10" s="31" t="n">
        <v>45</v>
      </c>
      <c r="S10" s="31" t="n">
        <v>58</v>
      </c>
      <c r="T10" s="31" t="n">
        <v>57</v>
      </c>
      <c r="U10" s="31" t="n">
        <v>48</v>
      </c>
      <c r="V10" s="31" t="n">
        <v>77</v>
      </c>
      <c r="W10" s="31" t="n">
        <v>52</v>
      </c>
      <c r="X10" s="32">
        <f>SUM(F10:W10)</f>
        <v/>
      </c>
      <c r="Y10" s="33">
        <f>ROUND(X10/1800, 4)</f>
        <v/>
      </c>
      <c r="Z10" s="41">
        <f>COUNTIF(F10:W10, "&lt;30")</f>
        <v/>
      </c>
      <c r="AA10" s="42">
        <f>IF(Z10=0, "Not Applicable (Passed All)", IF(Z10&lt;=3, "YES - Eligible for ATKT", "NO - Ineligible (&gt; 3 Backlogs)"))</f>
        <v/>
      </c>
      <c r="AB10" s="42">
        <f>IF(Z10=0, "PASS", IF(Z10&lt;=3, "PROMOTED WITH ATKT", "FAIL (YEAR DOWN)"))</f>
        <v/>
      </c>
    </row>
    <row r="11" ht="20" customHeight="1">
      <c r="A11" s="36" t="inlineStr">
        <is>
          <t>2025CS006</t>
        </is>
      </c>
      <c r="B11" s="37" t="inlineStr">
        <is>
          <t>Sneha Kulkarni</t>
        </is>
      </c>
      <c r="C11" s="37" t="inlineStr">
        <is>
          <t>Information Technology</t>
        </is>
      </c>
      <c r="D11" s="36" t="n">
        <v>2025</v>
      </c>
      <c r="E11" s="36" t="n">
        <v>2029</v>
      </c>
      <c r="F11" s="41" t="n">
        <v>18</v>
      </c>
      <c r="G11" s="41" t="n">
        <v>25</v>
      </c>
      <c r="H11" s="41" t="n">
        <v>22</v>
      </c>
      <c r="I11" s="41" t="n">
        <v>26</v>
      </c>
      <c r="J11" s="38" t="n">
        <v>32</v>
      </c>
      <c r="K11" s="38" t="n">
        <v>40</v>
      </c>
      <c r="L11" s="38" t="n">
        <v>50</v>
      </c>
      <c r="M11" s="38" t="n">
        <v>35</v>
      </c>
      <c r="N11" s="38" t="n">
        <v>47</v>
      </c>
      <c r="O11" s="38" t="n">
        <v>37</v>
      </c>
      <c r="P11" s="38" t="n">
        <v>35</v>
      </c>
      <c r="Q11" s="38" t="n">
        <v>44</v>
      </c>
      <c r="R11" s="38" t="n">
        <v>42</v>
      </c>
      <c r="S11" s="38" t="n">
        <v>38</v>
      </c>
      <c r="T11" s="38" t="n">
        <v>50</v>
      </c>
      <c r="U11" s="38" t="n">
        <v>52</v>
      </c>
      <c r="V11" s="38" t="n">
        <v>47</v>
      </c>
      <c r="W11" s="38" t="n">
        <v>37</v>
      </c>
      <c r="X11" s="39">
        <f>SUM(F11:W11)</f>
        <v/>
      </c>
      <c r="Y11" s="40">
        <f>ROUND(X11/1800, 4)</f>
        <v/>
      </c>
      <c r="Z11" s="41">
        <f>COUNTIF(F11:W11, "&lt;30")</f>
        <v/>
      </c>
      <c r="AA11" s="41">
        <f>IF(Z11=0, "Not Applicable (Passed All)", IF(Z11&lt;=3, "YES - Eligible for ATKT", "NO - Ineligible (&gt; 3 Backlogs)"))</f>
        <v/>
      </c>
      <c r="AB11" s="41">
        <f>IF(Z11=0, "PASS", IF(Z11&lt;=3, "PROMOTED WITH ATKT", "FAIL (YEAR DOWN)"))</f>
        <v/>
      </c>
    </row>
    <row r="12" ht="20" customHeight="1">
      <c r="A12" s="29" t="inlineStr">
        <is>
          <t>2025CS007</t>
        </is>
      </c>
      <c r="B12" s="30" t="inlineStr">
        <is>
          <t>Aditya Mehta</t>
        </is>
      </c>
      <c r="C12" s="30" t="inlineStr">
        <is>
          <t>Computer Science &amp; Engineering</t>
        </is>
      </c>
      <c r="D12" s="29" t="n">
        <v>2025</v>
      </c>
      <c r="E12" s="29" t="n">
        <v>2029</v>
      </c>
      <c r="F12" s="31" t="n">
        <v>55</v>
      </c>
      <c r="G12" s="31" t="n">
        <v>64</v>
      </c>
      <c r="H12" s="31" t="n">
        <v>70</v>
      </c>
      <c r="I12" s="31" t="n">
        <v>60</v>
      </c>
      <c r="J12" s="31" t="n">
        <v>58</v>
      </c>
      <c r="K12" s="31" t="n">
        <v>65</v>
      </c>
      <c r="L12" s="31" t="n">
        <v>77</v>
      </c>
      <c r="M12" s="31" t="n">
        <v>96</v>
      </c>
      <c r="N12" s="31" t="n">
        <v>71</v>
      </c>
      <c r="O12" s="31" t="n">
        <v>95</v>
      </c>
      <c r="P12" s="31" t="n">
        <v>80</v>
      </c>
      <c r="Q12" s="31" t="n">
        <v>82</v>
      </c>
      <c r="R12" s="31" t="n">
        <v>78</v>
      </c>
      <c r="S12" s="31" t="n">
        <v>72</v>
      </c>
      <c r="T12" s="31" t="n">
        <v>76</v>
      </c>
      <c r="U12" s="31" t="n">
        <v>88</v>
      </c>
      <c r="V12" s="31" t="n">
        <v>98</v>
      </c>
      <c r="W12" s="31" t="n">
        <v>92</v>
      </c>
      <c r="X12" s="32">
        <f>SUM(F12:W12)</f>
        <v/>
      </c>
      <c r="Y12" s="33">
        <f>ROUND(X12/1800, 4)</f>
        <v/>
      </c>
      <c r="Z12" s="34">
        <f>COUNTIF(F12:W12, "&lt;30")</f>
        <v/>
      </c>
      <c r="AA12" s="34">
        <f>IF(Z12=0, "Not Applicable (Passed All)", IF(Z12&lt;=3, "YES - Eligible for ATKT", "NO - Ineligible (&gt; 3 Backlogs)"))</f>
        <v/>
      </c>
      <c r="AB12" s="35">
        <f>IF(Z12=0, "PASS", IF(Z12&lt;=3, "PROMOTED WITH ATKT", "FAIL (YEAR DOWN)"))</f>
        <v/>
      </c>
    </row>
    <row r="13" ht="20" customHeight="1">
      <c r="A13" s="36" t="inlineStr">
        <is>
          <t>2025CS008</t>
        </is>
      </c>
      <c r="B13" s="37" t="inlineStr">
        <is>
          <t>Pooja Reddy</t>
        </is>
      </c>
      <c r="C13" s="37" t="inlineStr">
        <is>
          <t>Artificial Intelligence &amp; DS</t>
        </is>
      </c>
      <c r="D13" s="36" t="n">
        <v>2025</v>
      </c>
      <c r="E13" s="36" t="n">
        <v>2029</v>
      </c>
      <c r="F13" s="38" t="n">
        <v>52</v>
      </c>
      <c r="G13" s="38" t="n">
        <v>48</v>
      </c>
      <c r="H13" s="41" t="n">
        <v>25</v>
      </c>
      <c r="I13" s="38" t="n">
        <v>55</v>
      </c>
      <c r="J13" s="38" t="n">
        <v>60</v>
      </c>
      <c r="K13" s="41" t="n">
        <v>28</v>
      </c>
      <c r="L13" s="38" t="n">
        <v>64</v>
      </c>
      <c r="M13" s="38" t="n">
        <v>44</v>
      </c>
      <c r="N13" s="38" t="n">
        <v>51</v>
      </c>
      <c r="O13" s="38" t="n">
        <v>43</v>
      </c>
      <c r="P13" s="38" t="n">
        <v>50</v>
      </c>
      <c r="Q13" s="38" t="n">
        <v>70</v>
      </c>
      <c r="R13" s="38" t="n">
        <v>69</v>
      </c>
      <c r="S13" s="38" t="n">
        <v>51</v>
      </c>
      <c r="T13" s="38" t="n">
        <v>72</v>
      </c>
      <c r="U13" s="38" t="n">
        <v>62</v>
      </c>
      <c r="V13" s="38" t="n">
        <v>72</v>
      </c>
      <c r="W13" s="38" t="n">
        <v>60</v>
      </c>
      <c r="X13" s="39">
        <f>SUM(F13:W13)</f>
        <v/>
      </c>
      <c r="Y13" s="40">
        <f>ROUND(X13/1800, 4)</f>
        <v/>
      </c>
      <c r="Z13" s="41">
        <f>COUNTIF(F13:W13, "&lt;30")</f>
        <v/>
      </c>
      <c r="AA13" s="42">
        <f>IF(Z13=0, "Not Applicable (Passed All)", IF(Z13&lt;=3, "YES - Eligible for ATKT", "NO - Ineligible (&gt; 3 Backlogs)"))</f>
        <v/>
      </c>
      <c r="AB13" s="42">
        <f>IF(Z13=0, "PASS", IF(Z13&lt;=3, "PROMOTED WITH ATKT", "FAIL (YEAR DOWN)"))</f>
        <v/>
      </c>
    </row>
    <row r="14" ht="20" customHeight="1">
      <c r="A14" s="29" t="inlineStr">
        <is>
          <t>2025CS009</t>
        </is>
      </c>
      <c r="B14" s="30" t="inlineStr">
        <is>
          <t>Vikram Singh</t>
        </is>
      </c>
      <c r="C14" s="30" t="inlineStr">
        <is>
          <t>Computer Science &amp; Engineering</t>
        </is>
      </c>
      <c r="D14" s="29" t="n">
        <v>2025</v>
      </c>
      <c r="E14" s="29" t="n">
        <v>2029</v>
      </c>
      <c r="F14" s="41" t="n">
        <v>15</v>
      </c>
      <c r="G14" s="41" t="n">
        <v>20</v>
      </c>
      <c r="H14" s="41" t="n">
        <v>18</v>
      </c>
      <c r="I14" s="41" t="n">
        <v>22</v>
      </c>
      <c r="J14" s="41" t="n">
        <v>25</v>
      </c>
      <c r="K14" s="31" t="n">
        <v>35</v>
      </c>
      <c r="L14" s="31" t="n">
        <v>31</v>
      </c>
      <c r="M14" s="31" t="n">
        <v>33</v>
      </c>
      <c r="N14" s="31" t="n">
        <v>34</v>
      </c>
      <c r="O14" s="31" t="n">
        <v>50</v>
      </c>
      <c r="P14" s="31" t="n">
        <v>35</v>
      </c>
      <c r="Q14" s="31" t="n">
        <v>51</v>
      </c>
      <c r="R14" s="31" t="n">
        <v>43</v>
      </c>
      <c r="S14" s="31" t="n">
        <v>49</v>
      </c>
      <c r="T14" s="31" t="n">
        <v>32</v>
      </c>
      <c r="U14" s="31" t="n">
        <v>42</v>
      </c>
      <c r="V14" s="31" t="n">
        <v>42</v>
      </c>
      <c r="W14" s="31" t="n">
        <v>49</v>
      </c>
      <c r="X14" s="32">
        <f>SUM(F14:W14)</f>
        <v/>
      </c>
      <c r="Y14" s="33">
        <f>ROUND(X14/1800, 4)</f>
        <v/>
      </c>
      <c r="Z14" s="41">
        <f>COUNTIF(F14:W14, "&lt;30")</f>
        <v/>
      </c>
      <c r="AA14" s="41">
        <f>IF(Z14=0, "Not Applicable (Passed All)", IF(Z14&lt;=3, "YES - Eligible for ATKT", "NO - Ineligible (&gt; 3 Backlogs)"))</f>
        <v/>
      </c>
      <c r="AB14" s="41">
        <f>IF(Z14=0, "PASS", IF(Z14&lt;=3, "PROMOTED WITH ATKT", "FAIL (YEAR DOWN)"))</f>
        <v/>
      </c>
    </row>
    <row r="15" ht="20" customHeight="1">
      <c r="A15" s="36" t="inlineStr">
        <is>
          <t>2025CS010</t>
        </is>
      </c>
      <c r="B15" s="37" t="inlineStr">
        <is>
          <t>Riya Gupta</t>
        </is>
      </c>
      <c r="C15" s="37" t="inlineStr">
        <is>
          <t>Information Technology</t>
        </is>
      </c>
      <c r="D15" s="36" t="n">
        <v>2025</v>
      </c>
      <c r="E15" s="36" t="n">
        <v>2029</v>
      </c>
      <c r="F15" s="38" t="n">
        <v>72</v>
      </c>
      <c r="G15" s="38" t="n">
        <v>80</v>
      </c>
      <c r="H15" s="38" t="n">
        <v>68</v>
      </c>
      <c r="I15" s="38" t="n">
        <v>75</v>
      </c>
      <c r="J15" s="38" t="n">
        <v>82</v>
      </c>
      <c r="K15" s="38" t="n">
        <v>70</v>
      </c>
      <c r="L15" s="38" t="n">
        <v>91</v>
      </c>
      <c r="M15" s="38" t="n">
        <v>93</v>
      </c>
      <c r="N15" s="38" t="n">
        <v>73</v>
      </c>
      <c r="O15" s="38" t="n">
        <v>91</v>
      </c>
      <c r="P15" s="38" t="n">
        <v>98</v>
      </c>
      <c r="Q15" s="38" t="n">
        <v>87</v>
      </c>
      <c r="R15" s="38" t="n">
        <v>94</v>
      </c>
      <c r="S15" s="38" t="n">
        <v>78</v>
      </c>
      <c r="T15" s="38" t="n">
        <v>94</v>
      </c>
      <c r="U15" s="38" t="n">
        <v>90</v>
      </c>
      <c r="V15" s="38" t="n">
        <v>80</v>
      </c>
      <c r="W15" s="38" t="n">
        <v>73</v>
      </c>
      <c r="X15" s="39">
        <f>SUM(F15:W15)</f>
        <v/>
      </c>
      <c r="Y15" s="40">
        <f>ROUND(X15/1800, 4)</f>
        <v/>
      </c>
      <c r="Z15" s="34">
        <f>COUNTIF(F15:W15, "&lt;30")</f>
        <v/>
      </c>
      <c r="AA15" s="34">
        <f>IF(Z15=0, "Not Applicable (Passed All)", IF(Z15&lt;=3, "YES - Eligible for ATKT", "NO - Ineligible (&gt; 3 Backlogs)"))</f>
        <v/>
      </c>
      <c r="AB15" s="35">
        <f>IF(Z15=0, "PASS", IF(Z15&lt;=3, "PROMOTED WITH ATKT", "FAIL (YEAR DOWN)"))</f>
        <v/>
      </c>
    </row>
    <row r="16" ht="20" customHeight="1">
      <c r="A16" s="29" t="inlineStr">
        <is>
          <t>2025CS011</t>
        </is>
      </c>
      <c r="B16" s="30" t="inlineStr">
        <is>
          <t>Tanvi Deshmukh</t>
        </is>
      </c>
      <c r="C16" s="30" t="inlineStr">
        <is>
          <t>Computer Engineering</t>
        </is>
      </c>
      <c r="D16" s="29" t="n">
        <v>2025</v>
      </c>
      <c r="E16" s="29" t="n">
        <v>2029</v>
      </c>
      <c r="F16" s="31" t="n">
        <v>64</v>
      </c>
      <c r="G16" s="31" t="n">
        <v>68</v>
      </c>
      <c r="H16" s="31" t="n">
        <v>60</v>
      </c>
      <c r="I16" s="31" t="n">
        <v>69</v>
      </c>
      <c r="J16" s="31" t="n">
        <v>55</v>
      </c>
      <c r="K16" s="31" t="n">
        <v>85</v>
      </c>
      <c r="L16" s="31" t="n">
        <v>78</v>
      </c>
      <c r="M16" s="31" t="n">
        <v>83</v>
      </c>
      <c r="N16" s="31" t="n">
        <v>78</v>
      </c>
      <c r="O16" s="31" t="n">
        <v>63</v>
      </c>
      <c r="P16" s="31" t="n">
        <v>71</v>
      </c>
      <c r="Q16" s="31" t="n">
        <v>79</v>
      </c>
      <c r="R16" s="31" t="n">
        <v>60</v>
      </c>
      <c r="S16" s="31" t="n">
        <v>71</v>
      </c>
      <c r="T16" s="31" t="n">
        <v>84</v>
      </c>
      <c r="U16" s="31" t="n">
        <v>58</v>
      </c>
      <c r="V16" s="31" t="n">
        <v>82</v>
      </c>
      <c r="W16" s="31" t="n">
        <v>75</v>
      </c>
      <c r="X16" s="32">
        <f>SUM(F16:W16)</f>
        <v/>
      </c>
      <c r="Y16" s="33">
        <f>ROUND(X16/1800, 4)</f>
        <v/>
      </c>
      <c r="Z16" s="34">
        <f>COUNTIF(F16:W16, "&lt;30")</f>
        <v/>
      </c>
      <c r="AA16" s="34">
        <f>IF(Z16=0, "Not Applicable (Passed All)", IF(Z16&lt;=3, "YES - Eligible for ATKT", "NO - Ineligible (&gt; 3 Backlogs)"))</f>
        <v/>
      </c>
      <c r="AB16" s="35">
        <f>IF(Z16=0, "PASS", IF(Z16&lt;=3, "PROMOTED WITH ATKT", "FAIL (YEAR DOWN)"))</f>
        <v/>
      </c>
    </row>
    <row r="17" ht="20" customHeight="1">
      <c r="A17" s="36" t="inlineStr">
        <is>
          <t>2025CS012</t>
        </is>
      </c>
      <c r="B17" s="37" t="inlineStr">
        <is>
          <t>Aryan Joshi</t>
        </is>
      </c>
      <c r="C17" s="37" t="inlineStr">
        <is>
          <t>Computer Science &amp; Engineering</t>
        </is>
      </c>
      <c r="D17" s="36" t="n">
        <v>2025</v>
      </c>
      <c r="E17" s="36" t="n">
        <v>2029</v>
      </c>
      <c r="F17" s="38" t="n">
        <v>79</v>
      </c>
      <c r="G17" s="38" t="n">
        <v>96</v>
      </c>
      <c r="H17" s="38" t="n">
        <v>90</v>
      </c>
      <c r="I17" s="38" t="n">
        <v>86</v>
      </c>
      <c r="J17" s="38" t="n">
        <v>89</v>
      </c>
      <c r="K17" s="38" t="n">
        <v>76</v>
      </c>
      <c r="L17" s="38" t="n">
        <v>74</v>
      </c>
      <c r="M17" s="38" t="n">
        <v>81</v>
      </c>
      <c r="N17" s="38" t="n">
        <v>94</v>
      </c>
      <c r="O17" s="38" t="n">
        <v>75</v>
      </c>
      <c r="P17" s="38" t="n">
        <v>87</v>
      </c>
      <c r="Q17" s="38" t="n">
        <v>94</v>
      </c>
      <c r="R17" s="38" t="n">
        <v>86</v>
      </c>
      <c r="S17" s="38" t="n">
        <v>70</v>
      </c>
      <c r="T17" s="38" t="n">
        <v>89</v>
      </c>
      <c r="U17" s="38" t="n">
        <v>80</v>
      </c>
      <c r="V17" s="38" t="n">
        <v>85</v>
      </c>
      <c r="W17" s="38" t="n">
        <v>70</v>
      </c>
      <c r="X17" s="39">
        <f>SUM(F17:W17)</f>
        <v/>
      </c>
      <c r="Y17" s="40">
        <f>ROUND(X17/1800, 4)</f>
        <v/>
      </c>
      <c r="Z17" s="34">
        <f>COUNTIF(F17:W17, "&lt;30")</f>
        <v/>
      </c>
      <c r="AA17" s="34">
        <f>IF(Z17=0, "Not Applicable (Passed All)", IF(Z17&lt;=3, "YES - Eligible for ATKT", "NO - Ineligible (&gt; 3 Backlogs)"))</f>
        <v/>
      </c>
      <c r="AB17" s="35">
        <f>IF(Z17=0, "PASS", IF(Z17&lt;=3, "PROMOTED WITH ATKT", "FAIL (YEAR DOWN)"))</f>
        <v/>
      </c>
    </row>
    <row r="18" ht="20" customHeight="1">
      <c r="A18" s="29" t="inlineStr">
        <is>
          <t>2025CS013</t>
        </is>
      </c>
      <c r="B18" s="30" t="inlineStr">
        <is>
          <t>Meera Nambiar</t>
        </is>
      </c>
      <c r="C18" s="30" t="inlineStr">
        <is>
          <t>Artificial Intelligence &amp; DS</t>
        </is>
      </c>
      <c r="D18" s="29" t="n">
        <v>2025</v>
      </c>
      <c r="E18" s="29" t="n">
        <v>2029</v>
      </c>
      <c r="F18" s="31" t="n">
        <v>42</v>
      </c>
      <c r="G18" s="31" t="n">
        <v>58</v>
      </c>
      <c r="H18" s="31" t="n">
        <v>54</v>
      </c>
      <c r="I18" s="31" t="n">
        <v>50</v>
      </c>
      <c r="J18" s="31" t="n">
        <v>38</v>
      </c>
      <c r="K18" s="31" t="n">
        <v>50</v>
      </c>
      <c r="L18" s="31" t="n">
        <v>71</v>
      </c>
      <c r="M18" s="41" t="n">
        <v>17</v>
      </c>
      <c r="N18" s="31" t="n">
        <v>40</v>
      </c>
      <c r="O18" s="31" t="n">
        <v>66</v>
      </c>
      <c r="P18" s="31" t="n">
        <v>39</v>
      </c>
      <c r="Q18" s="31" t="n">
        <v>69</v>
      </c>
      <c r="R18" s="31" t="n">
        <v>43</v>
      </c>
      <c r="S18" s="31" t="n">
        <v>43</v>
      </c>
      <c r="T18" s="31" t="n">
        <v>77</v>
      </c>
      <c r="U18" s="31" t="n">
        <v>65</v>
      </c>
      <c r="V18" s="31" t="n">
        <v>70</v>
      </c>
      <c r="W18" s="31" t="n">
        <v>45</v>
      </c>
      <c r="X18" s="32">
        <f>SUM(F18:W18)</f>
        <v/>
      </c>
      <c r="Y18" s="33">
        <f>ROUND(X18/1800, 4)</f>
        <v/>
      </c>
      <c r="Z18" s="41">
        <f>COUNTIF(F18:W18, "&lt;30")</f>
        <v/>
      </c>
      <c r="AA18" s="42">
        <f>IF(Z18=0, "Not Applicable (Passed All)", IF(Z18&lt;=3, "YES - Eligible for ATKT", "NO - Ineligible (&gt; 3 Backlogs)"))</f>
        <v/>
      </c>
      <c r="AB18" s="42">
        <f>IF(Z18=0, "PASS", IF(Z18&lt;=3, "PROMOTED WITH ATKT", "FAIL (YEAR DOWN)"))</f>
        <v/>
      </c>
    </row>
    <row r="19" ht="20" customHeight="1">
      <c r="A19" s="36" t="inlineStr">
        <is>
          <t>2025CS014</t>
        </is>
      </c>
      <c r="B19" s="37" t="inlineStr">
        <is>
          <t>Siddharth Rao</t>
        </is>
      </c>
      <c r="C19" s="37" t="inlineStr">
        <is>
          <t>Information Technology</t>
        </is>
      </c>
      <c r="D19" s="36" t="n">
        <v>2025</v>
      </c>
      <c r="E19" s="36" t="n">
        <v>2029</v>
      </c>
      <c r="F19" s="38" t="n">
        <v>63</v>
      </c>
      <c r="G19" s="38" t="n">
        <v>71</v>
      </c>
      <c r="H19" s="38" t="n">
        <v>82</v>
      </c>
      <c r="I19" s="38" t="n">
        <v>74</v>
      </c>
      <c r="J19" s="38" t="n">
        <v>68</v>
      </c>
      <c r="K19" s="38" t="n">
        <v>85</v>
      </c>
      <c r="L19" s="38" t="n">
        <v>61</v>
      </c>
      <c r="M19" s="38" t="n">
        <v>84</v>
      </c>
      <c r="N19" s="38" t="n">
        <v>72</v>
      </c>
      <c r="O19" s="38" t="n">
        <v>79</v>
      </c>
      <c r="P19" s="38" t="n">
        <v>78</v>
      </c>
      <c r="Q19" s="38" t="n">
        <v>77</v>
      </c>
      <c r="R19" s="38" t="n">
        <v>61</v>
      </c>
      <c r="S19" s="38" t="n">
        <v>77</v>
      </c>
      <c r="T19" s="38" t="n">
        <v>64</v>
      </c>
      <c r="U19" s="38" t="n">
        <v>67</v>
      </c>
      <c r="V19" s="38" t="n">
        <v>76</v>
      </c>
      <c r="W19" s="38" t="n">
        <v>75</v>
      </c>
      <c r="X19" s="39">
        <f>SUM(F19:W19)</f>
        <v/>
      </c>
      <c r="Y19" s="40">
        <f>ROUND(X19/1800, 4)</f>
        <v/>
      </c>
      <c r="Z19" s="34">
        <f>COUNTIF(F19:W19, "&lt;30")</f>
        <v/>
      </c>
      <c r="AA19" s="34">
        <f>IF(Z19=0, "Not Applicable (Passed All)", IF(Z19&lt;=3, "YES - Eligible for ATKT", "NO - Ineligible (&gt; 3 Backlogs)"))</f>
        <v/>
      </c>
      <c r="AB19" s="35">
        <f>IF(Z19=0, "PASS", IF(Z19&lt;=3, "PROMOTED WITH ATKT", "FAIL (YEAR DOWN)"))</f>
        <v/>
      </c>
    </row>
    <row r="20" ht="20" customHeight="1">
      <c r="A20" s="29" t="inlineStr">
        <is>
          <t>2025CS015</t>
        </is>
      </c>
      <c r="B20" s="30" t="inlineStr">
        <is>
          <t>Kavya Menon</t>
        </is>
      </c>
      <c r="C20" s="30" t="inlineStr">
        <is>
          <t>Computer Science &amp; Engineering</t>
        </is>
      </c>
      <c r="D20" s="29" t="n">
        <v>2025</v>
      </c>
      <c r="E20" s="29" t="n">
        <v>2029</v>
      </c>
      <c r="F20" s="31" t="n">
        <v>81</v>
      </c>
      <c r="G20" s="31" t="n">
        <v>84</v>
      </c>
      <c r="H20" s="31" t="n">
        <v>98</v>
      </c>
      <c r="I20" s="31" t="n">
        <v>86</v>
      </c>
      <c r="J20" s="31" t="n">
        <v>84</v>
      </c>
      <c r="K20" s="31" t="n">
        <v>73</v>
      </c>
      <c r="L20" s="31" t="n">
        <v>77</v>
      </c>
      <c r="M20" s="31" t="n">
        <v>77</v>
      </c>
      <c r="N20" s="31" t="n">
        <v>72</v>
      </c>
      <c r="O20" s="31" t="n">
        <v>80</v>
      </c>
      <c r="P20" s="31" t="n">
        <v>70</v>
      </c>
      <c r="Q20" s="31" t="n">
        <v>88</v>
      </c>
      <c r="R20" s="31" t="n">
        <v>87</v>
      </c>
      <c r="S20" s="31" t="n">
        <v>77</v>
      </c>
      <c r="T20" s="31" t="n">
        <v>88</v>
      </c>
      <c r="U20" s="31" t="n">
        <v>77</v>
      </c>
      <c r="V20" s="31" t="n">
        <v>70</v>
      </c>
      <c r="W20" s="31" t="n">
        <v>72</v>
      </c>
      <c r="X20" s="32">
        <f>SUM(F20:W20)</f>
        <v/>
      </c>
      <c r="Y20" s="33">
        <f>ROUND(X20/1800, 4)</f>
        <v/>
      </c>
      <c r="Z20" s="34">
        <f>COUNTIF(F20:W20, "&lt;30")</f>
        <v/>
      </c>
      <c r="AA20" s="34">
        <f>IF(Z20=0, "Not Applicable (Passed All)", IF(Z20&lt;=3, "YES - Eligible for ATKT", "NO - Ineligible (&gt; 3 Backlogs)"))</f>
        <v/>
      </c>
      <c r="AB20" s="35">
        <f>IF(Z20=0, "PASS", IF(Z20&lt;=3, "PROMOTED WITH ATKT", "FAIL (YEAR DOWN)"))</f>
        <v/>
      </c>
    </row>
    <row r="21" ht="20" customHeight="1">
      <c r="A21" s="36" t="inlineStr">
        <is>
          <t>2025CS016</t>
        </is>
      </c>
      <c r="B21" s="37" t="inlineStr">
        <is>
          <t>Kabir Malhotra</t>
        </is>
      </c>
      <c r="C21" s="37" t="inlineStr">
        <is>
          <t>Computer Engineering</t>
        </is>
      </c>
      <c r="D21" s="36" t="n">
        <v>2025</v>
      </c>
      <c r="E21" s="36" t="n">
        <v>2029</v>
      </c>
      <c r="F21" s="38" t="n">
        <v>75</v>
      </c>
      <c r="G21" s="38" t="n">
        <v>38</v>
      </c>
      <c r="H21" s="41" t="n">
        <v>19</v>
      </c>
      <c r="I21" s="38" t="n">
        <v>39</v>
      </c>
      <c r="J21" s="38" t="n">
        <v>37</v>
      </c>
      <c r="K21" s="38" t="n">
        <v>56</v>
      </c>
      <c r="L21" s="38" t="n">
        <v>39</v>
      </c>
      <c r="M21" s="38" t="n">
        <v>67</v>
      </c>
      <c r="N21" s="41" t="n">
        <v>19</v>
      </c>
      <c r="O21" s="38" t="n">
        <v>52</v>
      </c>
      <c r="P21" s="38" t="n">
        <v>77</v>
      </c>
      <c r="Q21" s="41" t="n">
        <v>23</v>
      </c>
      <c r="R21" s="38" t="n">
        <v>48</v>
      </c>
      <c r="S21" s="38" t="n">
        <v>69</v>
      </c>
      <c r="T21" s="38" t="n">
        <v>43</v>
      </c>
      <c r="U21" s="38" t="n">
        <v>71</v>
      </c>
      <c r="V21" s="38" t="n">
        <v>71</v>
      </c>
      <c r="W21" s="38" t="n">
        <v>65</v>
      </c>
      <c r="X21" s="39">
        <f>SUM(F21:W21)</f>
        <v/>
      </c>
      <c r="Y21" s="40">
        <f>ROUND(X21/1800, 4)</f>
        <v/>
      </c>
      <c r="Z21" s="41">
        <f>COUNTIF(F21:W21, "&lt;30")</f>
        <v/>
      </c>
      <c r="AA21" s="42">
        <f>IF(Z21=0, "Not Applicable (Passed All)", IF(Z21&lt;=3, "YES - Eligible for ATKT", "NO - Ineligible (&gt; 3 Backlogs)"))</f>
        <v/>
      </c>
      <c r="AB21" s="42">
        <f>IF(Z21=0, "PASS", IF(Z21&lt;=3, "PROMOTED WITH ATKT", "FAIL (YEAR DOWN)"))</f>
        <v/>
      </c>
    </row>
    <row r="22" ht="20" customHeight="1">
      <c r="A22" s="29" t="inlineStr">
        <is>
          <t>2025CS017</t>
        </is>
      </c>
      <c r="B22" s="30" t="inlineStr">
        <is>
          <t>Neha Chawla</t>
        </is>
      </c>
      <c r="C22" s="30" t="inlineStr">
        <is>
          <t>Information Technology</t>
        </is>
      </c>
      <c r="D22" s="29" t="n">
        <v>2025</v>
      </c>
      <c r="E22" s="29" t="n">
        <v>2029</v>
      </c>
      <c r="F22" s="31" t="n">
        <v>62</v>
      </c>
      <c r="G22" s="31" t="n">
        <v>80</v>
      </c>
      <c r="H22" s="31" t="n">
        <v>70</v>
      </c>
      <c r="I22" s="31" t="n">
        <v>80</v>
      </c>
      <c r="J22" s="31" t="n">
        <v>68</v>
      </c>
      <c r="K22" s="31" t="n">
        <v>61</v>
      </c>
      <c r="L22" s="31" t="n">
        <v>58</v>
      </c>
      <c r="M22" s="31" t="n">
        <v>58</v>
      </c>
      <c r="N22" s="31" t="n">
        <v>76</v>
      </c>
      <c r="O22" s="31" t="n">
        <v>68</v>
      </c>
      <c r="P22" s="31" t="n">
        <v>66</v>
      </c>
      <c r="Q22" s="31" t="n">
        <v>68</v>
      </c>
      <c r="R22" s="31" t="n">
        <v>68</v>
      </c>
      <c r="S22" s="31" t="n">
        <v>69</v>
      </c>
      <c r="T22" s="31" t="n">
        <v>82</v>
      </c>
      <c r="U22" s="31" t="n">
        <v>78</v>
      </c>
      <c r="V22" s="31" t="n">
        <v>56</v>
      </c>
      <c r="W22" s="31" t="n">
        <v>76</v>
      </c>
      <c r="X22" s="32">
        <f>SUM(F22:W22)</f>
        <v/>
      </c>
      <c r="Y22" s="33">
        <f>ROUND(X22/1800, 4)</f>
        <v/>
      </c>
      <c r="Z22" s="34">
        <f>COUNTIF(F22:W22, "&lt;30")</f>
        <v/>
      </c>
      <c r="AA22" s="34">
        <f>IF(Z22=0, "Not Applicable (Passed All)", IF(Z22&lt;=3, "YES - Eligible for ATKT", "NO - Ineligible (&gt; 3 Backlogs)"))</f>
        <v/>
      </c>
      <c r="AB22" s="35">
        <f>IF(Z22=0, "PASS", IF(Z22&lt;=3, "PROMOTED WITH ATKT", "FAIL (YEAR DOWN)"))</f>
        <v/>
      </c>
    </row>
    <row r="23" ht="20" customHeight="1">
      <c r="A23" s="36" t="inlineStr">
        <is>
          <t>2025CS018</t>
        </is>
      </c>
      <c r="B23" s="37" t="inlineStr">
        <is>
          <t>Rahul Bansal</t>
        </is>
      </c>
      <c r="C23" s="37" t="inlineStr">
        <is>
          <t>Computer Science &amp; Engineering</t>
        </is>
      </c>
      <c r="D23" s="36" t="n">
        <v>2025</v>
      </c>
      <c r="E23" s="36" t="n">
        <v>2029</v>
      </c>
      <c r="F23" s="38" t="n">
        <v>41</v>
      </c>
      <c r="G23" s="38" t="n">
        <v>38</v>
      </c>
      <c r="H23" s="38" t="n">
        <v>60</v>
      </c>
      <c r="I23" s="38" t="n">
        <v>56</v>
      </c>
      <c r="J23" s="38" t="n">
        <v>41</v>
      </c>
      <c r="K23" s="38" t="n">
        <v>50</v>
      </c>
      <c r="L23" s="38" t="n">
        <v>47</v>
      </c>
      <c r="M23" s="38" t="n">
        <v>47</v>
      </c>
      <c r="N23" s="38" t="n">
        <v>69</v>
      </c>
      <c r="O23" s="38" t="n">
        <v>63</v>
      </c>
      <c r="P23" s="38" t="n">
        <v>43</v>
      </c>
      <c r="Q23" s="38" t="n">
        <v>62</v>
      </c>
      <c r="R23" s="38" t="n">
        <v>46</v>
      </c>
      <c r="S23" s="38" t="n">
        <v>52</v>
      </c>
      <c r="T23" s="38" t="n">
        <v>64</v>
      </c>
      <c r="U23" s="38" t="n">
        <v>50</v>
      </c>
      <c r="V23" s="38" t="n">
        <v>39</v>
      </c>
      <c r="W23" s="38" t="n">
        <v>63</v>
      </c>
      <c r="X23" s="39">
        <f>SUM(F23:W23)</f>
        <v/>
      </c>
      <c r="Y23" s="40">
        <f>ROUND(X23/1800, 4)</f>
        <v/>
      </c>
      <c r="Z23" s="34">
        <f>COUNTIF(F23:W23, "&lt;30")</f>
        <v/>
      </c>
      <c r="AA23" s="34">
        <f>IF(Z23=0, "Not Applicable (Passed All)", IF(Z23&lt;=3, "YES - Eligible for ATKT", "NO - Ineligible (&gt; 3 Backlogs)"))</f>
        <v/>
      </c>
      <c r="AB23" s="35">
        <f>IF(Z23=0, "PASS", IF(Z23&lt;=3, "PROMOTED WITH ATKT", "FAIL (YEAR DOWN)"))</f>
        <v/>
      </c>
    </row>
    <row r="24" ht="20" customHeight="1">
      <c r="A24" s="29" t="inlineStr">
        <is>
          <t>2025CS019</t>
        </is>
      </c>
      <c r="B24" s="30" t="inlineStr">
        <is>
          <t>Anika Sen</t>
        </is>
      </c>
      <c r="C24" s="30" t="inlineStr">
        <is>
          <t>Artificial Intelligence &amp; DS</t>
        </is>
      </c>
      <c r="D24" s="29" t="n">
        <v>2025</v>
      </c>
      <c r="E24" s="29" t="n">
        <v>2029</v>
      </c>
      <c r="F24" s="31" t="n">
        <v>95</v>
      </c>
      <c r="G24" s="31" t="n">
        <v>97</v>
      </c>
      <c r="H24" s="31" t="n">
        <v>97</v>
      </c>
      <c r="I24" s="31" t="n">
        <v>87</v>
      </c>
      <c r="J24" s="31" t="n">
        <v>73</v>
      </c>
      <c r="K24" s="31" t="n">
        <v>71</v>
      </c>
      <c r="L24" s="31" t="n">
        <v>90</v>
      </c>
      <c r="M24" s="31" t="n">
        <v>87</v>
      </c>
      <c r="N24" s="31" t="n">
        <v>96</v>
      </c>
      <c r="O24" s="31" t="n">
        <v>70</v>
      </c>
      <c r="P24" s="31" t="n">
        <v>72</v>
      </c>
      <c r="Q24" s="31" t="n">
        <v>94</v>
      </c>
      <c r="R24" s="31" t="n">
        <v>97</v>
      </c>
      <c r="S24" s="31" t="n">
        <v>77</v>
      </c>
      <c r="T24" s="31" t="n">
        <v>75</v>
      </c>
      <c r="U24" s="31" t="n">
        <v>83</v>
      </c>
      <c r="V24" s="31" t="n">
        <v>85</v>
      </c>
      <c r="W24" s="31" t="n">
        <v>85</v>
      </c>
      <c r="X24" s="32">
        <f>SUM(F24:W24)</f>
        <v/>
      </c>
      <c r="Y24" s="33">
        <f>ROUND(X24/1800, 4)</f>
        <v/>
      </c>
      <c r="Z24" s="34">
        <f>COUNTIF(F24:W24, "&lt;30")</f>
        <v/>
      </c>
      <c r="AA24" s="34">
        <f>IF(Z24=0, "Not Applicable (Passed All)", IF(Z24&lt;=3, "YES - Eligible for ATKT", "NO - Ineligible (&gt; 3 Backlogs)"))</f>
        <v/>
      </c>
      <c r="AB24" s="35">
        <f>IF(Z24=0, "PASS", IF(Z24&lt;=3, "PROMOTED WITH ATKT", "FAIL (YEAR DOWN)"))</f>
        <v/>
      </c>
    </row>
    <row r="25" ht="20" customHeight="1">
      <c r="A25" s="36" t="inlineStr">
        <is>
          <t>2025CS020</t>
        </is>
      </c>
      <c r="B25" s="37" t="inlineStr">
        <is>
          <t>Yashvardhan Singhania</t>
        </is>
      </c>
      <c r="C25" s="37" t="inlineStr">
        <is>
          <t>Computer Science &amp; Engineering</t>
        </is>
      </c>
      <c r="D25" s="36" t="n">
        <v>2025</v>
      </c>
      <c r="E25" s="36" t="n">
        <v>2029</v>
      </c>
      <c r="F25" s="38" t="n">
        <v>36</v>
      </c>
      <c r="G25" s="38" t="n">
        <v>42</v>
      </c>
      <c r="H25" s="38" t="n">
        <v>31</v>
      </c>
      <c r="I25" s="38" t="n">
        <v>35</v>
      </c>
      <c r="J25" s="38" t="n">
        <v>42</v>
      </c>
      <c r="K25" s="38" t="n">
        <v>30</v>
      </c>
      <c r="L25" s="41" t="n">
        <v>20</v>
      </c>
      <c r="M25" s="41" t="n">
        <v>18</v>
      </c>
      <c r="N25" s="41" t="n">
        <v>28</v>
      </c>
      <c r="O25" s="41" t="n">
        <v>26</v>
      </c>
      <c r="P25" s="38" t="n">
        <v>44</v>
      </c>
      <c r="Q25" s="38" t="n">
        <v>39</v>
      </c>
      <c r="R25" s="38" t="n">
        <v>43</v>
      </c>
      <c r="S25" s="38" t="n">
        <v>52</v>
      </c>
      <c r="T25" s="38" t="n">
        <v>47</v>
      </c>
      <c r="U25" s="38" t="n">
        <v>51</v>
      </c>
      <c r="V25" s="38" t="n">
        <v>52</v>
      </c>
      <c r="W25" s="38" t="n">
        <v>45</v>
      </c>
      <c r="X25" s="39">
        <f>SUM(F25:W25)</f>
        <v/>
      </c>
      <c r="Y25" s="40">
        <f>ROUND(X25/1800, 4)</f>
        <v/>
      </c>
      <c r="Z25" s="41">
        <f>COUNTIF(F25:W25, "&lt;30")</f>
        <v/>
      </c>
      <c r="AA25" s="41">
        <f>IF(Z25=0, "Not Applicable (Passed All)", IF(Z25&lt;=3, "YES - Eligible for ATKT", "NO - Ineligible (&gt; 3 Backlogs)"))</f>
        <v/>
      </c>
      <c r="AB25" s="41">
        <f>IF(Z25=0, "PASS", IF(Z25&lt;=3, "PROMOTED WITH ATKT", "FAIL (YEAR DOWN)"))</f>
        <v/>
      </c>
    </row>
    <row r="26" ht="20" customHeight="1">
      <c r="A26" s="29" t="inlineStr">
        <is>
          <t>2025CS021</t>
        </is>
      </c>
      <c r="B26" s="30" t="inlineStr">
        <is>
          <t>Shreya Bhattacharya</t>
        </is>
      </c>
      <c r="C26" s="30" t="inlineStr">
        <is>
          <t>Information Technology</t>
        </is>
      </c>
      <c r="D26" s="29" t="n">
        <v>2025</v>
      </c>
      <c r="E26" s="29" t="n">
        <v>2029</v>
      </c>
      <c r="F26" s="31" t="n">
        <v>59</v>
      </c>
      <c r="G26" s="31" t="n">
        <v>61</v>
      </c>
      <c r="H26" s="31" t="n">
        <v>64</v>
      </c>
      <c r="I26" s="31" t="n">
        <v>61</v>
      </c>
      <c r="J26" s="31" t="n">
        <v>85</v>
      </c>
      <c r="K26" s="31" t="n">
        <v>56</v>
      </c>
      <c r="L26" s="31" t="n">
        <v>73</v>
      </c>
      <c r="M26" s="31" t="n">
        <v>78</v>
      </c>
      <c r="N26" s="31" t="n">
        <v>72</v>
      </c>
      <c r="O26" s="31" t="n">
        <v>56</v>
      </c>
      <c r="P26" s="31" t="n">
        <v>78</v>
      </c>
      <c r="Q26" s="31" t="n">
        <v>65</v>
      </c>
      <c r="R26" s="31" t="n">
        <v>56</v>
      </c>
      <c r="S26" s="31" t="n">
        <v>56</v>
      </c>
      <c r="T26" s="31" t="n">
        <v>73</v>
      </c>
      <c r="U26" s="31" t="n">
        <v>70</v>
      </c>
      <c r="V26" s="31" t="n">
        <v>71</v>
      </c>
      <c r="W26" s="31" t="n">
        <v>84</v>
      </c>
      <c r="X26" s="32">
        <f>SUM(F26:W26)</f>
        <v/>
      </c>
      <c r="Y26" s="33">
        <f>ROUND(X26/1800, 4)</f>
        <v/>
      </c>
      <c r="Z26" s="34">
        <f>COUNTIF(F26:W26, "&lt;30")</f>
        <v/>
      </c>
      <c r="AA26" s="34">
        <f>IF(Z26=0, "Not Applicable (Passed All)", IF(Z26&lt;=3, "YES - Eligible for ATKT", "NO - Ineligible (&gt; 3 Backlogs)"))</f>
        <v/>
      </c>
      <c r="AB26" s="35">
        <f>IF(Z26=0, "PASS", IF(Z26&lt;=3, "PROMOTED WITH ATKT", "FAIL (YEAR DOWN)"))</f>
        <v/>
      </c>
    </row>
    <row r="27" ht="20" customHeight="1">
      <c r="A27" s="36" t="inlineStr">
        <is>
          <t>2025CS022</t>
        </is>
      </c>
      <c r="B27" s="37" t="inlineStr">
        <is>
          <t>Varun Kapoor</t>
        </is>
      </c>
      <c r="C27" s="37" t="inlineStr">
        <is>
          <t>Computer Science &amp; Engineering</t>
        </is>
      </c>
      <c r="D27" s="36" t="n">
        <v>2025</v>
      </c>
      <c r="E27" s="36" t="n">
        <v>2029</v>
      </c>
      <c r="F27" s="38" t="n">
        <v>68</v>
      </c>
      <c r="G27" s="38" t="n">
        <v>45</v>
      </c>
      <c r="H27" s="38" t="n">
        <v>38</v>
      </c>
      <c r="I27" s="38" t="n">
        <v>67</v>
      </c>
      <c r="J27" s="38" t="n">
        <v>40</v>
      </c>
      <c r="K27" s="38" t="n">
        <v>46</v>
      </c>
      <c r="L27" s="41" t="n">
        <v>17</v>
      </c>
      <c r="M27" s="38" t="n">
        <v>73</v>
      </c>
      <c r="N27" s="38" t="n">
        <v>39</v>
      </c>
      <c r="O27" s="38" t="n">
        <v>78</v>
      </c>
      <c r="P27" s="38" t="n">
        <v>50</v>
      </c>
      <c r="Q27" s="38" t="n">
        <v>60</v>
      </c>
      <c r="R27" s="38" t="n">
        <v>42</v>
      </c>
      <c r="S27" s="38" t="n">
        <v>71</v>
      </c>
      <c r="T27" s="38" t="n">
        <v>50</v>
      </c>
      <c r="U27" s="38" t="n">
        <v>72</v>
      </c>
      <c r="V27" s="38" t="n">
        <v>73</v>
      </c>
      <c r="W27" s="38" t="n">
        <v>37</v>
      </c>
      <c r="X27" s="39">
        <f>SUM(F27:W27)</f>
        <v/>
      </c>
      <c r="Y27" s="40">
        <f>ROUND(X27/1800, 4)</f>
        <v/>
      </c>
      <c r="Z27" s="41">
        <f>COUNTIF(F27:W27, "&lt;30")</f>
        <v/>
      </c>
      <c r="AA27" s="42">
        <f>IF(Z27=0, "Not Applicable (Passed All)", IF(Z27&lt;=3, "YES - Eligible for ATKT", "NO - Ineligible (&gt; 3 Backlogs)"))</f>
        <v/>
      </c>
      <c r="AB27" s="42">
        <f>IF(Z27=0, "PASS", IF(Z27&lt;=3, "PROMOTED WITH ATKT", "FAIL (YEAR DOWN)"))</f>
        <v/>
      </c>
    </row>
    <row r="28" ht="20" customHeight="1">
      <c r="A28" s="29" t="inlineStr">
        <is>
          <t>2025CS023</t>
        </is>
      </c>
      <c r="B28" s="30" t="inlineStr">
        <is>
          <t>Prisha Hegde</t>
        </is>
      </c>
      <c r="C28" s="30" t="inlineStr">
        <is>
          <t>Artificial Intelligence &amp; DS</t>
        </is>
      </c>
      <c r="D28" s="29" t="n">
        <v>2025</v>
      </c>
      <c r="E28" s="29" t="n">
        <v>2029</v>
      </c>
      <c r="F28" s="31" t="n">
        <v>89</v>
      </c>
      <c r="G28" s="31" t="n">
        <v>72</v>
      </c>
      <c r="H28" s="31" t="n">
        <v>83</v>
      </c>
      <c r="I28" s="31" t="n">
        <v>91</v>
      </c>
      <c r="J28" s="31" t="n">
        <v>88</v>
      </c>
      <c r="K28" s="31" t="n">
        <v>88</v>
      </c>
      <c r="L28" s="31" t="n">
        <v>86</v>
      </c>
      <c r="M28" s="31" t="n">
        <v>80</v>
      </c>
      <c r="N28" s="31" t="n">
        <v>78</v>
      </c>
      <c r="O28" s="31" t="n">
        <v>76</v>
      </c>
      <c r="P28" s="31" t="n">
        <v>91</v>
      </c>
      <c r="Q28" s="31" t="n">
        <v>92</v>
      </c>
      <c r="R28" s="31" t="n">
        <v>80</v>
      </c>
      <c r="S28" s="31" t="n">
        <v>77</v>
      </c>
      <c r="T28" s="31" t="n">
        <v>78</v>
      </c>
      <c r="U28" s="31" t="n">
        <v>82</v>
      </c>
      <c r="V28" s="31" t="n">
        <v>74</v>
      </c>
      <c r="W28" s="31" t="n">
        <v>91</v>
      </c>
      <c r="X28" s="32">
        <f>SUM(F28:W28)</f>
        <v/>
      </c>
      <c r="Y28" s="33">
        <f>ROUND(X28/1800, 4)</f>
        <v/>
      </c>
      <c r="Z28" s="34">
        <f>COUNTIF(F28:W28, "&lt;30")</f>
        <v/>
      </c>
      <c r="AA28" s="34">
        <f>IF(Z28=0, "Not Applicable (Passed All)", IF(Z28&lt;=3, "YES - Eligible for ATKT", "NO - Ineligible (&gt; 3 Backlogs)"))</f>
        <v/>
      </c>
      <c r="AB28" s="35">
        <f>IF(Z28=0, "PASS", IF(Z28&lt;=3, "PROMOTED WITH ATKT", "FAIL (YEAR DOWN)"))</f>
        <v/>
      </c>
    </row>
    <row r="29" ht="20" customHeight="1">
      <c r="A29" s="36" t="inlineStr">
        <is>
          <t>2025CS024</t>
        </is>
      </c>
      <c r="B29" s="37" t="inlineStr">
        <is>
          <t>Harshavardhan Rathi</t>
        </is>
      </c>
      <c r="C29" s="37" t="inlineStr">
        <is>
          <t>Computer Engineering</t>
        </is>
      </c>
      <c r="D29" s="36" t="n">
        <v>2025</v>
      </c>
      <c r="E29" s="36" t="n">
        <v>2029</v>
      </c>
      <c r="F29" s="38" t="n">
        <v>54</v>
      </c>
      <c r="G29" s="38" t="n">
        <v>64</v>
      </c>
      <c r="H29" s="38" t="n">
        <v>55</v>
      </c>
      <c r="I29" s="38" t="n">
        <v>39</v>
      </c>
      <c r="J29" s="38" t="n">
        <v>35</v>
      </c>
      <c r="K29" s="38" t="n">
        <v>64</v>
      </c>
      <c r="L29" s="38" t="n">
        <v>71</v>
      </c>
      <c r="M29" s="38" t="n">
        <v>41</v>
      </c>
      <c r="N29" s="38" t="n">
        <v>39</v>
      </c>
      <c r="O29" s="38" t="n">
        <v>69</v>
      </c>
      <c r="P29" s="38" t="n">
        <v>48</v>
      </c>
      <c r="Q29" s="38" t="n">
        <v>67</v>
      </c>
      <c r="R29" s="38" t="n">
        <v>51</v>
      </c>
      <c r="S29" s="38" t="n">
        <v>43</v>
      </c>
      <c r="T29" s="38" t="n">
        <v>57</v>
      </c>
      <c r="U29" s="38" t="n">
        <v>39</v>
      </c>
      <c r="V29" s="38" t="n">
        <v>50</v>
      </c>
      <c r="W29" s="38" t="n">
        <v>58</v>
      </c>
      <c r="X29" s="39">
        <f>SUM(F29:W29)</f>
        <v/>
      </c>
      <c r="Y29" s="40">
        <f>ROUND(X29/1800, 4)</f>
        <v/>
      </c>
      <c r="Z29" s="34">
        <f>COUNTIF(F29:W29, "&lt;30")</f>
        <v/>
      </c>
      <c r="AA29" s="34">
        <f>IF(Z29=0, "Not Applicable (Passed All)", IF(Z29&lt;=3, "YES - Eligible for ATKT", "NO - Ineligible (&gt; 3 Backlogs)"))</f>
        <v/>
      </c>
      <c r="AB29" s="35">
        <f>IF(Z29=0, "PASS", IF(Z29&lt;=3, "PROMOTED WITH ATKT", "FAIL (YEAR DOWN)"))</f>
        <v/>
      </c>
    </row>
    <row r="30" ht="20" customHeight="1">
      <c r="A30" s="29" t="inlineStr">
        <is>
          <t>2025CS025</t>
        </is>
      </c>
      <c r="B30" s="30" t="inlineStr">
        <is>
          <t>Simran Kaur</t>
        </is>
      </c>
      <c r="C30" s="30" t="inlineStr">
        <is>
          <t>Information Technology</t>
        </is>
      </c>
      <c r="D30" s="29" t="n">
        <v>2025</v>
      </c>
      <c r="E30" s="29" t="n">
        <v>2029</v>
      </c>
      <c r="F30" s="31" t="n">
        <v>64</v>
      </c>
      <c r="G30" s="31" t="n">
        <v>60</v>
      </c>
      <c r="H30" s="31" t="n">
        <v>69</v>
      </c>
      <c r="I30" s="31" t="n">
        <v>81</v>
      </c>
      <c r="J30" s="31" t="n">
        <v>72</v>
      </c>
      <c r="K30" s="31" t="n">
        <v>77</v>
      </c>
      <c r="L30" s="31" t="n">
        <v>64</v>
      </c>
      <c r="M30" s="31" t="n">
        <v>74</v>
      </c>
      <c r="N30" s="31" t="n">
        <v>80</v>
      </c>
      <c r="O30" s="31" t="n">
        <v>75</v>
      </c>
      <c r="P30" s="31" t="n">
        <v>71</v>
      </c>
      <c r="Q30" s="31" t="n">
        <v>55</v>
      </c>
      <c r="R30" s="31" t="n">
        <v>76</v>
      </c>
      <c r="S30" s="31" t="n">
        <v>81</v>
      </c>
      <c r="T30" s="31" t="n">
        <v>72</v>
      </c>
      <c r="U30" s="31" t="n">
        <v>64</v>
      </c>
      <c r="V30" s="31" t="n">
        <v>84</v>
      </c>
      <c r="W30" s="31" t="n">
        <v>76</v>
      </c>
      <c r="X30" s="32">
        <f>SUM(F30:W30)</f>
        <v/>
      </c>
      <c r="Y30" s="33">
        <f>ROUND(X30/1800, 4)</f>
        <v/>
      </c>
      <c r="Z30" s="34">
        <f>COUNTIF(F30:W30, "&lt;30")</f>
        <v/>
      </c>
      <c r="AA30" s="34">
        <f>IF(Z30=0, "Not Applicable (Passed All)", IF(Z30&lt;=3, "YES - Eligible for ATKT", "NO - Ineligible (&gt; 3 Backlogs)"))</f>
        <v/>
      </c>
      <c r="AB30" s="35">
        <f>IF(Z30=0, "PASS", IF(Z30&lt;=3, "PROMOTED WITH ATKT", "FAIL (YEAR DOWN)"))</f>
        <v/>
      </c>
    </row>
    <row r="31" ht="20" customHeight="1">
      <c r="A31" s="36" t="inlineStr">
        <is>
          <t>2025CS026</t>
        </is>
      </c>
      <c r="B31" s="37" t="inlineStr">
        <is>
          <t>Devansh Saxena</t>
        </is>
      </c>
      <c r="C31" s="37" t="inlineStr">
        <is>
          <t>Computer Science &amp; Engineering</t>
        </is>
      </c>
      <c r="D31" s="36" t="n">
        <v>2025</v>
      </c>
      <c r="E31" s="36" t="n">
        <v>2029</v>
      </c>
      <c r="F31" s="38" t="n">
        <v>41</v>
      </c>
      <c r="G31" s="38" t="n">
        <v>43</v>
      </c>
      <c r="H31" s="38" t="n">
        <v>51</v>
      </c>
      <c r="I31" s="38" t="n">
        <v>42</v>
      </c>
      <c r="J31" s="38" t="n">
        <v>41</v>
      </c>
      <c r="K31" s="38" t="n">
        <v>70</v>
      </c>
      <c r="L31" s="38" t="n">
        <v>44</v>
      </c>
      <c r="M31" s="38" t="n">
        <v>52</v>
      </c>
      <c r="N31" s="38" t="n">
        <v>53</v>
      </c>
      <c r="O31" s="38" t="n">
        <v>48</v>
      </c>
      <c r="P31" s="38" t="n">
        <v>56</v>
      </c>
      <c r="Q31" s="38" t="n">
        <v>48</v>
      </c>
      <c r="R31" s="38" t="n">
        <v>51</v>
      </c>
      <c r="S31" s="38" t="n">
        <v>67</v>
      </c>
      <c r="T31" s="38" t="n">
        <v>66</v>
      </c>
      <c r="U31" s="38" t="n">
        <v>51</v>
      </c>
      <c r="V31" s="38" t="n">
        <v>38</v>
      </c>
      <c r="W31" s="38" t="n">
        <v>40</v>
      </c>
      <c r="X31" s="39">
        <f>SUM(F31:W31)</f>
        <v/>
      </c>
      <c r="Y31" s="40">
        <f>ROUND(X31/1800, 4)</f>
        <v/>
      </c>
      <c r="Z31" s="34">
        <f>COUNTIF(F31:W31, "&lt;30")</f>
        <v/>
      </c>
      <c r="AA31" s="34">
        <f>IF(Z31=0, "Not Applicable (Passed All)", IF(Z31&lt;=3, "YES - Eligible for ATKT", "NO - Ineligible (&gt; 3 Backlogs)"))</f>
        <v/>
      </c>
      <c r="AB31" s="35">
        <f>IF(Z31=0, "PASS", IF(Z31&lt;=3, "PROMOTED WITH ATKT", "FAIL (YEAR DOWN)"))</f>
        <v/>
      </c>
    </row>
    <row r="32" ht="20" customHeight="1">
      <c r="A32" s="29" t="inlineStr">
        <is>
          <t>2025CS027</t>
        </is>
      </c>
      <c r="B32" s="30" t="inlineStr">
        <is>
          <t>Avani Pillai</t>
        </is>
      </c>
      <c r="C32" s="30" t="inlineStr">
        <is>
          <t>Artificial Intelligence &amp; DS</t>
        </is>
      </c>
      <c r="D32" s="29" t="n">
        <v>2025</v>
      </c>
      <c r="E32" s="29" t="n">
        <v>2029</v>
      </c>
      <c r="F32" s="31" t="n">
        <v>90</v>
      </c>
      <c r="G32" s="31" t="n">
        <v>83</v>
      </c>
      <c r="H32" s="31" t="n">
        <v>96</v>
      </c>
      <c r="I32" s="31" t="n">
        <v>78</v>
      </c>
      <c r="J32" s="31" t="n">
        <v>71</v>
      </c>
      <c r="K32" s="31" t="n">
        <v>70</v>
      </c>
      <c r="L32" s="31" t="n">
        <v>80</v>
      </c>
      <c r="M32" s="31" t="n">
        <v>94</v>
      </c>
      <c r="N32" s="31" t="n">
        <v>74</v>
      </c>
      <c r="O32" s="31" t="n">
        <v>90</v>
      </c>
      <c r="P32" s="31" t="n">
        <v>78</v>
      </c>
      <c r="Q32" s="31" t="n">
        <v>75</v>
      </c>
      <c r="R32" s="31" t="n">
        <v>93</v>
      </c>
      <c r="S32" s="31" t="n">
        <v>84</v>
      </c>
      <c r="T32" s="31" t="n">
        <v>87</v>
      </c>
      <c r="U32" s="31" t="n">
        <v>92</v>
      </c>
      <c r="V32" s="31" t="n">
        <v>83</v>
      </c>
      <c r="W32" s="31" t="n">
        <v>87</v>
      </c>
      <c r="X32" s="32">
        <f>SUM(F32:W32)</f>
        <v/>
      </c>
      <c r="Y32" s="33">
        <f>ROUND(X32/1800, 4)</f>
        <v/>
      </c>
      <c r="Z32" s="34">
        <f>COUNTIF(F32:W32, "&lt;30")</f>
        <v/>
      </c>
      <c r="AA32" s="34">
        <f>IF(Z32=0, "Not Applicable (Passed All)", IF(Z32&lt;=3, "YES - Eligible for ATKT", "NO - Ineligible (&gt; 3 Backlogs)"))</f>
        <v/>
      </c>
      <c r="AB32" s="35">
        <f>IF(Z32=0, "PASS", IF(Z32&lt;=3, "PROMOTED WITH ATKT", "FAIL (YEAR DOWN)"))</f>
        <v/>
      </c>
    </row>
    <row r="33" ht="20" customHeight="1">
      <c r="A33" s="36" t="inlineStr">
        <is>
          <t>2025CS028</t>
        </is>
      </c>
      <c r="B33" s="37" t="inlineStr">
        <is>
          <t>Kunal Gokhale</t>
        </is>
      </c>
      <c r="C33" s="37" t="inlineStr">
        <is>
          <t>Information Technology</t>
        </is>
      </c>
      <c r="D33" s="36" t="n">
        <v>2025</v>
      </c>
      <c r="E33" s="36" t="n">
        <v>2029</v>
      </c>
      <c r="F33" s="38" t="n">
        <v>35</v>
      </c>
      <c r="G33" s="38" t="n">
        <v>42</v>
      </c>
      <c r="H33" s="38" t="n">
        <v>39</v>
      </c>
      <c r="I33" s="38" t="n">
        <v>44</v>
      </c>
      <c r="J33" s="38" t="n">
        <v>69</v>
      </c>
      <c r="K33" s="38" t="n">
        <v>37</v>
      </c>
      <c r="L33" s="38" t="n">
        <v>58</v>
      </c>
      <c r="M33" s="38" t="n">
        <v>72</v>
      </c>
      <c r="N33" s="38" t="n">
        <v>70</v>
      </c>
      <c r="O33" s="41" t="n">
        <v>18</v>
      </c>
      <c r="P33" s="41" t="n">
        <v>22</v>
      </c>
      <c r="Q33" s="38" t="n">
        <v>43</v>
      </c>
      <c r="R33" s="38" t="n">
        <v>37</v>
      </c>
      <c r="S33" s="38" t="n">
        <v>54</v>
      </c>
      <c r="T33" s="38" t="n">
        <v>58</v>
      </c>
      <c r="U33" s="38" t="n">
        <v>37</v>
      </c>
      <c r="V33" s="38" t="n">
        <v>57</v>
      </c>
      <c r="W33" s="38" t="n">
        <v>48</v>
      </c>
      <c r="X33" s="39">
        <f>SUM(F33:W33)</f>
        <v/>
      </c>
      <c r="Y33" s="40">
        <f>ROUND(X33/1800, 4)</f>
        <v/>
      </c>
      <c r="Z33" s="41">
        <f>COUNTIF(F33:W33, "&lt;30")</f>
        <v/>
      </c>
      <c r="AA33" s="42">
        <f>IF(Z33=0, "Not Applicable (Passed All)", IF(Z33&lt;=3, "YES - Eligible for ATKT", "NO - Ineligible (&gt; 3 Backlogs)"))</f>
        <v/>
      </c>
      <c r="AB33" s="42">
        <f>IF(Z33=0, "PASS", IF(Z33&lt;=3, "PROMOTED WITH ATKT", "FAIL (YEAR DOWN)"))</f>
        <v/>
      </c>
    </row>
    <row r="34" ht="20" customHeight="1">
      <c r="A34" s="29" t="inlineStr">
        <is>
          <t>2025CS029</t>
        </is>
      </c>
      <c r="B34" s="30" t="inlineStr">
        <is>
          <t>Tara Sundaram</t>
        </is>
      </c>
      <c r="C34" s="30" t="inlineStr">
        <is>
          <t>Computer Science &amp; Engineering</t>
        </is>
      </c>
      <c r="D34" s="29" t="n">
        <v>2025</v>
      </c>
      <c r="E34" s="29" t="n">
        <v>2029</v>
      </c>
      <c r="F34" s="31" t="n">
        <v>76</v>
      </c>
      <c r="G34" s="31" t="n">
        <v>62</v>
      </c>
      <c r="H34" s="31" t="n">
        <v>76</v>
      </c>
      <c r="I34" s="31" t="n">
        <v>58</v>
      </c>
      <c r="J34" s="31" t="n">
        <v>66</v>
      </c>
      <c r="K34" s="31" t="n">
        <v>79</v>
      </c>
      <c r="L34" s="31" t="n">
        <v>72</v>
      </c>
      <c r="M34" s="31" t="n">
        <v>83</v>
      </c>
      <c r="N34" s="31" t="n">
        <v>82</v>
      </c>
      <c r="O34" s="31" t="n">
        <v>68</v>
      </c>
      <c r="P34" s="31" t="n">
        <v>74</v>
      </c>
      <c r="Q34" s="31" t="n">
        <v>78</v>
      </c>
      <c r="R34" s="31" t="n">
        <v>59</v>
      </c>
      <c r="S34" s="31" t="n">
        <v>84</v>
      </c>
      <c r="T34" s="31" t="n">
        <v>84</v>
      </c>
      <c r="U34" s="31" t="n">
        <v>62</v>
      </c>
      <c r="V34" s="31" t="n">
        <v>82</v>
      </c>
      <c r="W34" s="31" t="n">
        <v>60</v>
      </c>
      <c r="X34" s="32">
        <f>SUM(F34:W34)</f>
        <v/>
      </c>
      <c r="Y34" s="33">
        <f>ROUND(X34/1800, 4)</f>
        <v/>
      </c>
      <c r="Z34" s="34">
        <f>COUNTIF(F34:W34, "&lt;30")</f>
        <v/>
      </c>
      <c r="AA34" s="34">
        <f>IF(Z34=0, "Not Applicable (Passed All)", IF(Z34&lt;=3, "YES - Eligible for ATKT", "NO - Ineligible (&gt; 3 Backlogs)"))</f>
        <v/>
      </c>
      <c r="AB34" s="35">
        <f>IF(Z34=0, "PASS", IF(Z34&lt;=3, "PROMOTED WITH ATKT", "FAIL (YEAR DOWN)"))</f>
        <v/>
      </c>
    </row>
    <row r="35" ht="20" customHeight="1">
      <c r="A35" s="36" t="inlineStr">
        <is>
          <t>2025CS030</t>
        </is>
      </c>
      <c r="B35" s="37" t="inlineStr">
        <is>
          <t>Manan Shah</t>
        </is>
      </c>
      <c r="C35" s="37" t="inlineStr">
        <is>
          <t>Computer Engineering</t>
        </is>
      </c>
      <c r="D35" s="36" t="n">
        <v>2025</v>
      </c>
      <c r="E35" s="36" t="n">
        <v>2029</v>
      </c>
      <c r="F35" s="38" t="n">
        <v>35</v>
      </c>
      <c r="G35" s="38" t="n">
        <v>43</v>
      </c>
      <c r="H35" s="41" t="n">
        <v>14</v>
      </c>
      <c r="I35" s="38" t="n">
        <v>35</v>
      </c>
      <c r="J35" s="38" t="n">
        <v>40</v>
      </c>
      <c r="K35" s="41" t="n">
        <v>26</v>
      </c>
      <c r="L35" s="38" t="n">
        <v>43</v>
      </c>
      <c r="M35" s="38" t="n">
        <v>51</v>
      </c>
      <c r="N35" s="41" t="n">
        <v>27</v>
      </c>
      <c r="O35" s="38" t="n">
        <v>37</v>
      </c>
      <c r="P35" s="38" t="n">
        <v>38</v>
      </c>
      <c r="Q35" s="41" t="n">
        <v>16</v>
      </c>
      <c r="R35" s="38" t="n">
        <v>52</v>
      </c>
      <c r="S35" s="38" t="n">
        <v>33</v>
      </c>
      <c r="T35" s="41" t="n">
        <v>20</v>
      </c>
      <c r="U35" s="38" t="n">
        <v>31</v>
      </c>
      <c r="V35" s="38" t="n">
        <v>45</v>
      </c>
      <c r="W35" s="41" t="n">
        <v>17</v>
      </c>
      <c r="X35" s="39">
        <f>SUM(F35:W35)</f>
        <v/>
      </c>
      <c r="Y35" s="40">
        <f>ROUND(X35/1800, 4)</f>
        <v/>
      </c>
      <c r="Z35" s="41">
        <f>COUNTIF(F35:W35, "&lt;30")</f>
        <v/>
      </c>
      <c r="AA35" s="41">
        <f>IF(Z35=0, "Not Applicable (Passed All)", IF(Z35&lt;=3, "YES - Eligible for ATKT", "NO - Ineligible (&gt; 3 Backlogs)"))</f>
        <v/>
      </c>
      <c r="AB35" s="41">
        <f>IF(Z35=0, "PASS", IF(Z35&lt;=3, "PROMOTED WITH ATKT", "FAIL (YEAR DOWN)"))</f>
        <v/>
      </c>
    </row>
    <row r="36" ht="20" customHeight="1">
      <c r="A36" s="29" t="inlineStr">
        <is>
          <t>2025CS031</t>
        </is>
      </c>
      <c r="B36" s="30" t="inlineStr">
        <is>
          <t>Ritika Agarwal</t>
        </is>
      </c>
      <c r="C36" s="30" t="inlineStr">
        <is>
          <t>Information Technology</t>
        </is>
      </c>
      <c r="D36" s="29" t="n">
        <v>2025</v>
      </c>
      <c r="E36" s="29" t="n">
        <v>2029</v>
      </c>
      <c r="F36" s="31" t="n">
        <v>47</v>
      </c>
      <c r="G36" s="31" t="n">
        <v>64</v>
      </c>
      <c r="H36" s="31" t="n">
        <v>57</v>
      </c>
      <c r="I36" s="31" t="n">
        <v>54</v>
      </c>
      <c r="J36" s="31" t="n">
        <v>49</v>
      </c>
      <c r="K36" s="31" t="n">
        <v>49</v>
      </c>
      <c r="L36" s="31" t="n">
        <v>36</v>
      </c>
      <c r="M36" s="31" t="n">
        <v>47</v>
      </c>
      <c r="N36" s="31" t="n">
        <v>60</v>
      </c>
      <c r="O36" s="31" t="n">
        <v>56</v>
      </c>
      <c r="P36" s="31" t="n">
        <v>52</v>
      </c>
      <c r="Q36" s="31" t="n">
        <v>39</v>
      </c>
      <c r="R36" s="31" t="n">
        <v>52</v>
      </c>
      <c r="S36" s="31" t="n">
        <v>57</v>
      </c>
      <c r="T36" s="31" t="n">
        <v>67</v>
      </c>
      <c r="U36" s="31" t="n">
        <v>60</v>
      </c>
      <c r="V36" s="31" t="n">
        <v>69</v>
      </c>
      <c r="W36" s="31" t="n">
        <v>56</v>
      </c>
      <c r="X36" s="32">
        <f>SUM(F36:W36)</f>
        <v/>
      </c>
      <c r="Y36" s="33">
        <f>ROUND(X36/1800, 4)</f>
        <v/>
      </c>
      <c r="Z36" s="34">
        <f>COUNTIF(F36:W36, "&lt;30")</f>
        <v/>
      </c>
      <c r="AA36" s="34">
        <f>IF(Z36=0, "Not Applicable (Passed All)", IF(Z36&lt;=3, "YES - Eligible for ATKT", "NO - Ineligible (&gt; 3 Backlogs)"))</f>
        <v/>
      </c>
      <c r="AB36" s="35">
        <f>IF(Z36=0, "PASS", IF(Z36&lt;=3, "PROMOTED WITH ATKT", "FAIL (YEAR DOWN)"))</f>
        <v/>
      </c>
    </row>
    <row r="37" ht="20" customHeight="1">
      <c r="A37" s="36" t="inlineStr">
        <is>
          <t>2025CS032</t>
        </is>
      </c>
      <c r="B37" s="37" t="inlineStr">
        <is>
          <t>Ayush Trivedi</t>
        </is>
      </c>
      <c r="C37" s="37" t="inlineStr">
        <is>
          <t>Computer Science &amp; Engineering</t>
        </is>
      </c>
      <c r="D37" s="36" t="n">
        <v>2025</v>
      </c>
      <c r="E37" s="36" t="n">
        <v>2029</v>
      </c>
      <c r="F37" s="38" t="n">
        <v>70</v>
      </c>
      <c r="G37" s="38" t="n">
        <v>73</v>
      </c>
      <c r="H37" s="38" t="n">
        <v>98</v>
      </c>
      <c r="I37" s="38" t="n">
        <v>78</v>
      </c>
      <c r="J37" s="38" t="n">
        <v>75</v>
      </c>
      <c r="K37" s="38" t="n">
        <v>88</v>
      </c>
      <c r="L37" s="38" t="n">
        <v>78</v>
      </c>
      <c r="M37" s="38" t="n">
        <v>71</v>
      </c>
      <c r="N37" s="38" t="n">
        <v>73</v>
      </c>
      <c r="O37" s="38" t="n">
        <v>89</v>
      </c>
      <c r="P37" s="38" t="n">
        <v>83</v>
      </c>
      <c r="Q37" s="38" t="n">
        <v>81</v>
      </c>
      <c r="R37" s="38" t="n">
        <v>93</v>
      </c>
      <c r="S37" s="38" t="n">
        <v>95</v>
      </c>
      <c r="T37" s="38" t="n">
        <v>80</v>
      </c>
      <c r="U37" s="38" t="n">
        <v>83</v>
      </c>
      <c r="V37" s="38" t="n">
        <v>89</v>
      </c>
      <c r="W37" s="38" t="n">
        <v>86</v>
      </c>
      <c r="X37" s="39">
        <f>SUM(F37:W37)</f>
        <v/>
      </c>
      <c r="Y37" s="40">
        <f>ROUND(X37/1800, 4)</f>
        <v/>
      </c>
      <c r="Z37" s="34">
        <f>COUNTIF(F37:W37, "&lt;30")</f>
        <v/>
      </c>
      <c r="AA37" s="34">
        <f>IF(Z37=0, "Not Applicable (Passed All)", IF(Z37&lt;=3, "YES - Eligible for ATKT", "NO - Ineligible (&gt; 3 Backlogs)"))</f>
        <v/>
      </c>
      <c r="AB37" s="35">
        <f>IF(Z37=0, "PASS", IF(Z37&lt;=3, "PROMOTED WITH ATKT", "FAIL (YEAR DOWN)"))</f>
        <v/>
      </c>
    </row>
    <row r="38" ht="20" customHeight="1">
      <c r="A38" s="29" t="inlineStr">
        <is>
          <t>2025CS033</t>
        </is>
      </c>
      <c r="B38" s="30" t="inlineStr">
        <is>
          <t>Bhavna Choudhary</t>
        </is>
      </c>
      <c r="C38" s="30" t="inlineStr">
        <is>
          <t>Artificial Intelligence &amp; DS</t>
        </is>
      </c>
      <c r="D38" s="29" t="n">
        <v>2025</v>
      </c>
      <c r="E38" s="29" t="n">
        <v>2029</v>
      </c>
      <c r="F38" s="31" t="n">
        <v>42</v>
      </c>
      <c r="G38" s="31" t="n">
        <v>59</v>
      </c>
      <c r="H38" s="31" t="n">
        <v>71</v>
      </c>
      <c r="I38" s="31" t="n">
        <v>47</v>
      </c>
      <c r="J38" s="31" t="n">
        <v>51</v>
      </c>
      <c r="K38" s="31" t="n">
        <v>37</v>
      </c>
      <c r="L38" s="31" t="n">
        <v>62</v>
      </c>
      <c r="M38" s="31" t="n">
        <v>35</v>
      </c>
      <c r="N38" s="31" t="n">
        <v>68</v>
      </c>
      <c r="O38" s="31" t="n">
        <v>69</v>
      </c>
      <c r="P38" s="31" t="n">
        <v>78</v>
      </c>
      <c r="Q38" s="31" t="n">
        <v>77</v>
      </c>
      <c r="R38" s="41" t="n">
        <v>19</v>
      </c>
      <c r="S38" s="31" t="n">
        <v>58</v>
      </c>
      <c r="T38" s="31" t="n">
        <v>62</v>
      </c>
      <c r="U38" s="31" t="n">
        <v>39</v>
      </c>
      <c r="V38" s="31" t="n">
        <v>77</v>
      </c>
      <c r="W38" s="31" t="n">
        <v>56</v>
      </c>
      <c r="X38" s="32">
        <f>SUM(F38:W38)</f>
        <v/>
      </c>
      <c r="Y38" s="33">
        <f>ROUND(X38/1800, 4)</f>
        <v/>
      </c>
      <c r="Z38" s="41">
        <f>COUNTIF(F38:W38, "&lt;30")</f>
        <v/>
      </c>
      <c r="AA38" s="42">
        <f>IF(Z38=0, "Not Applicable (Passed All)", IF(Z38&lt;=3, "YES - Eligible for ATKT", "NO - Ineligible (&gt; 3 Backlogs)"))</f>
        <v/>
      </c>
      <c r="AB38" s="42">
        <f>IF(Z38=0, "PASS", IF(Z38&lt;=3, "PROMOTED WITH ATKT", "FAIL (YEAR DOWN)"))</f>
        <v/>
      </c>
    </row>
    <row r="39" ht="20" customHeight="1">
      <c r="A39" s="36" t="inlineStr">
        <is>
          <t>2025CS034</t>
        </is>
      </c>
      <c r="B39" s="37" t="inlineStr">
        <is>
          <t>Dhruv Mathur</t>
        </is>
      </c>
      <c r="C39" s="37" t="inlineStr">
        <is>
          <t>Computer Science &amp; Engineering</t>
        </is>
      </c>
      <c r="D39" s="36" t="n">
        <v>2025</v>
      </c>
      <c r="E39" s="36" t="n">
        <v>2029</v>
      </c>
      <c r="F39" s="38" t="n">
        <v>55</v>
      </c>
      <c r="G39" s="38" t="n">
        <v>42</v>
      </c>
      <c r="H39" s="38" t="n">
        <v>54</v>
      </c>
      <c r="I39" s="38" t="n">
        <v>67</v>
      </c>
      <c r="J39" s="38" t="n">
        <v>54</v>
      </c>
      <c r="K39" s="38" t="n">
        <v>61</v>
      </c>
      <c r="L39" s="38" t="n">
        <v>55</v>
      </c>
      <c r="M39" s="38" t="n">
        <v>60</v>
      </c>
      <c r="N39" s="38" t="n">
        <v>53</v>
      </c>
      <c r="O39" s="38" t="n">
        <v>70</v>
      </c>
      <c r="P39" s="38" t="n">
        <v>43</v>
      </c>
      <c r="Q39" s="38" t="n">
        <v>47</v>
      </c>
      <c r="R39" s="38" t="n">
        <v>61</v>
      </c>
      <c r="S39" s="38" t="n">
        <v>59</v>
      </c>
      <c r="T39" s="38" t="n">
        <v>46</v>
      </c>
      <c r="U39" s="38" t="n">
        <v>71</v>
      </c>
      <c r="V39" s="38" t="n">
        <v>54</v>
      </c>
      <c r="W39" s="38" t="n">
        <v>60</v>
      </c>
      <c r="X39" s="39">
        <f>SUM(F39:W39)</f>
        <v/>
      </c>
      <c r="Y39" s="40">
        <f>ROUND(X39/1800, 4)</f>
        <v/>
      </c>
      <c r="Z39" s="34">
        <f>COUNTIF(F39:W39, "&lt;30")</f>
        <v/>
      </c>
      <c r="AA39" s="34">
        <f>IF(Z39=0, "Not Applicable (Passed All)", IF(Z39&lt;=3, "YES - Eligible for ATKT", "NO - Ineligible (&gt; 3 Backlogs)"))</f>
        <v/>
      </c>
      <c r="AB39" s="35">
        <f>IF(Z39=0, "PASS", IF(Z39&lt;=3, "PROMOTED WITH ATKT", "FAIL (YEAR DOWN)"))</f>
        <v/>
      </c>
    </row>
    <row r="40" ht="20" customHeight="1">
      <c r="A40" s="29" t="inlineStr">
        <is>
          <t>2025CS035</t>
        </is>
      </c>
      <c r="B40" s="30" t="inlineStr">
        <is>
          <t>Esha Venkatesh</t>
        </is>
      </c>
      <c r="C40" s="30" t="inlineStr">
        <is>
          <t>Information Technology</t>
        </is>
      </c>
      <c r="D40" s="29" t="n">
        <v>2025</v>
      </c>
      <c r="E40" s="29" t="n">
        <v>2029</v>
      </c>
      <c r="F40" s="31" t="n">
        <v>72</v>
      </c>
      <c r="G40" s="31" t="n">
        <v>81</v>
      </c>
      <c r="H40" s="31" t="n">
        <v>55</v>
      </c>
      <c r="I40" s="31" t="n">
        <v>64</v>
      </c>
      <c r="J40" s="31" t="n">
        <v>64</v>
      </c>
      <c r="K40" s="31" t="n">
        <v>61</v>
      </c>
      <c r="L40" s="31" t="n">
        <v>68</v>
      </c>
      <c r="M40" s="31" t="n">
        <v>80</v>
      </c>
      <c r="N40" s="31" t="n">
        <v>73</v>
      </c>
      <c r="O40" s="31" t="n">
        <v>74</v>
      </c>
      <c r="P40" s="31" t="n">
        <v>75</v>
      </c>
      <c r="Q40" s="31" t="n">
        <v>65</v>
      </c>
      <c r="R40" s="31" t="n">
        <v>69</v>
      </c>
      <c r="S40" s="31" t="n">
        <v>69</v>
      </c>
      <c r="T40" s="31" t="n">
        <v>69</v>
      </c>
      <c r="U40" s="31" t="n">
        <v>76</v>
      </c>
      <c r="V40" s="31" t="n">
        <v>61</v>
      </c>
      <c r="W40" s="31" t="n">
        <v>71</v>
      </c>
      <c r="X40" s="32">
        <f>SUM(F40:W40)</f>
        <v/>
      </c>
      <c r="Y40" s="33">
        <f>ROUND(X40/1800, 4)</f>
        <v/>
      </c>
      <c r="Z40" s="34">
        <f>COUNTIF(F40:W40, "&lt;30")</f>
        <v/>
      </c>
      <c r="AA40" s="34">
        <f>IF(Z40=0, "Not Applicable (Passed All)", IF(Z40&lt;=3, "YES - Eligible for ATKT", "NO - Ineligible (&gt; 3 Backlogs)"))</f>
        <v/>
      </c>
      <c r="AB40" s="35">
        <f>IF(Z40=0, "PASS", IF(Z40&lt;=3, "PROMOTED WITH ATKT", "FAIL (YEAR DOWN)"))</f>
        <v/>
      </c>
    </row>
    <row r="41" ht="20" customHeight="1">
      <c r="A41" s="36" t="inlineStr">
        <is>
          <t>2025CS036</t>
        </is>
      </c>
      <c r="B41" s="37" t="inlineStr">
        <is>
          <t>Farhan Akhtar</t>
        </is>
      </c>
      <c r="C41" s="37" t="inlineStr">
        <is>
          <t>Computer Engineering</t>
        </is>
      </c>
      <c r="D41" s="36" t="n">
        <v>2025</v>
      </c>
      <c r="E41" s="36" t="n">
        <v>2029</v>
      </c>
      <c r="F41" s="38" t="n">
        <v>65</v>
      </c>
      <c r="G41" s="38" t="n">
        <v>45</v>
      </c>
      <c r="H41" s="38" t="n">
        <v>40</v>
      </c>
      <c r="I41" s="38" t="n">
        <v>53</v>
      </c>
      <c r="J41" s="38" t="n">
        <v>67</v>
      </c>
      <c r="K41" s="38" t="n">
        <v>56</v>
      </c>
      <c r="L41" s="38" t="n">
        <v>40</v>
      </c>
      <c r="M41" s="38" t="n">
        <v>50</v>
      </c>
      <c r="N41" s="38" t="n">
        <v>54</v>
      </c>
      <c r="O41" s="38" t="n">
        <v>49</v>
      </c>
      <c r="P41" s="38" t="n">
        <v>47</v>
      </c>
      <c r="Q41" s="38" t="n">
        <v>44</v>
      </c>
      <c r="R41" s="38" t="n">
        <v>36</v>
      </c>
      <c r="S41" s="38" t="n">
        <v>37</v>
      </c>
      <c r="T41" s="38" t="n">
        <v>50</v>
      </c>
      <c r="U41" s="38" t="n">
        <v>65</v>
      </c>
      <c r="V41" s="38" t="n">
        <v>39</v>
      </c>
      <c r="W41" s="38" t="n">
        <v>64</v>
      </c>
      <c r="X41" s="39">
        <f>SUM(F41:W41)</f>
        <v/>
      </c>
      <c r="Y41" s="40">
        <f>ROUND(X41/1800, 4)</f>
        <v/>
      </c>
      <c r="Z41" s="34">
        <f>COUNTIF(F41:W41, "&lt;30")</f>
        <v/>
      </c>
      <c r="AA41" s="34">
        <f>IF(Z41=0, "Not Applicable (Passed All)", IF(Z41&lt;=3, "YES - Eligible for ATKT", "NO - Ineligible (&gt; 3 Backlogs)"))</f>
        <v/>
      </c>
      <c r="AB41" s="35">
        <f>IF(Z41=0, "PASS", IF(Z41&lt;=3, "PROMOTED WITH ATKT", "FAIL (YEAR DOWN)"))</f>
        <v/>
      </c>
    </row>
    <row r="42" ht="20" customHeight="1">
      <c r="A42" s="29" t="inlineStr">
        <is>
          <t>2025CS037</t>
        </is>
      </c>
      <c r="B42" s="30" t="inlineStr">
        <is>
          <t>Gargi Samant</t>
        </is>
      </c>
      <c r="C42" s="30" t="inlineStr">
        <is>
          <t>Artificial Intelligence &amp; DS</t>
        </is>
      </c>
      <c r="D42" s="29" t="n">
        <v>2025</v>
      </c>
      <c r="E42" s="29" t="n">
        <v>2029</v>
      </c>
      <c r="F42" s="31" t="n">
        <v>83</v>
      </c>
      <c r="G42" s="31" t="n">
        <v>98</v>
      </c>
      <c r="H42" s="31" t="n">
        <v>90</v>
      </c>
      <c r="I42" s="31" t="n">
        <v>88</v>
      </c>
      <c r="J42" s="31" t="n">
        <v>76</v>
      </c>
      <c r="K42" s="31" t="n">
        <v>92</v>
      </c>
      <c r="L42" s="31" t="n">
        <v>92</v>
      </c>
      <c r="M42" s="31" t="n">
        <v>82</v>
      </c>
      <c r="N42" s="31" t="n">
        <v>85</v>
      </c>
      <c r="O42" s="31" t="n">
        <v>82</v>
      </c>
      <c r="P42" s="31" t="n">
        <v>77</v>
      </c>
      <c r="Q42" s="31" t="n">
        <v>74</v>
      </c>
      <c r="R42" s="31" t="n">
        <v>90</v>
      </c>
      <c r="S42" s="31" t="n">
        <v>92</v>
      </c>
      <c r="T42" s="31" t="n">
        <v>70</v>
      </c>
      <c r="U42" s="31" t="n">
        <v>98</v>
      </c>
      <c r="V42" s="31" t="n">
        <v>94</v>
      </c>
      <c r="W42" s="31" t="n">
        <v>97</v>
      </c>
      <c r="X42" s="32">
        <f>SUM(F42:W42)</f>
        <v/>
      </c>
      <c r="Y42" s="33">
        <f>ROUND(X42/1800, 4)</f>
        <v/>
      </c>
      <c r="Z42" s="34">
        <f>COUNTIF(F42:W42, "&lt;30")</f>
        <v/>
      </c>
      <c r="AA42" s="34">
        <f>IF(Z42=0, "Not Applicable (Passed All)", IF(Z42&lt;=3, "YES - Eligible for ATKT", "NO - Ineligible (&gt; 3 Backlogs)"))</f>
        <v/>
      </c>
      <c r="AB42" s="35">
        <f>IF(Z42=0, "PASS", IF(Z42&lt;=3, "PROMOTED WITH ATKT", "FAIL (YEAR DOWN)"))</f>
        <v/>
      </c>
    </row>
    <row r="43" ht="20" customHeight="1">
      <c r="A43" s="36" t="inlineStr">
        <is>
          <t>2025CS038</t>
        </is>
      </c>
      <c r="B43" s="37" t="inlineStr">
        <is>
          <t>Himanshu Pandey</t>
        </is>
      </c>
      <c r="C43" s="37" t="inlineStr">
        <is>
          <t>Computer Science &amp; Engineering</t>
        </is>
      </c>
      <c r="D43" s="36" t="n">
        <v>2025</v>
      </c>
      <c r="E43" s="36" t="n">
        <v>2029</v>
      </c>
      <c r="F43" s="38" t="n">
        <v>41</v>
      </c>
      <c r="G43" s="41" t="n">
        <v>28</v>
      </c>
      <c r="H43" s="38" t="n">
        <v>62</v>
      </c>
      <c r="I43" s="38" t="n">
        <v>49</v>
      </c>
      <c r="J43" s="38" t="n">
        <v>46</v>
      </c>
      <c r="K43" s="38" t="n">
        <v>68</v>
      </c>
      <c r="L43" s="38" t="n">
        <v>64</v>
      </c>
      <c r="M43" s="38" t="n">
        <v>38</v>
      </c>
      <c r="N43" s="38" t="n">
        <v>70</v>
      </c>
      <c r="O43" s="38" t="n">
        <v>50</v>
      </c>
      <c r="P43" s="38" t="n">
        <v>42</v>
      </c>
      <c r="Q43" s="38" t="n">
        <v>64</v>
      </c>
      <c r="R43" s="38" t="n">
        <v>43</v>
      </c>
      <c r="S43" s="38" t="n">
        <v>64</v>
      </c>
      <c r="T43" s="41" t="n">
        <v>26</v>
      </c>
      <c r="U43" s="41" t="n">
        <v>24</v>
      </c>
      <c r="V43" s="38" t="n">
        <v>70</v>
      </c>
      <c r="W43" s="38" t="n">
        <v>73</v>
      </c>
      <c r="X43" s="39">
        <f>SUM(F43:W43)</f>
        <v/>
      </c>
      <c r="Y43" s="40">
        <f>ROUND(X43/1800, 4)</f>
        <v/>
      </c>
      <c r="Z43" s="41">
        <f>COUNTIF(F43:W43, "&lt;30")</f>
        <v/>
      </c>
      <c r="AA43" s="42">
        <f>IF(Z43=0, "Not Applicable (Passed All)", IF(Z43&lt;=3, "YES - Eligible for ATKT", "NO - Ineligible (&gt; 3 Backlogs)"))</f>
        <v/>
      </c>
      <c r="AB43" s="42">
        <f>IF(Z43=0, "PASS", IF(Z43&lt;=3, "PROMOTED WITH ATKT", "FAIL (YEAR DOWN)"))</f>
        <v/>
      </c>
    </row>
    <row r="44" ht="20" customHeight="1">
      <c r="A44" s="29" t="inlineStr">
        <is>
          <t>2025CS039</t>
        </is>
      </c>
      <c r="B44" s="30" t="inlineStr">
        <is>
          <t>Ishita Bose</t>
        </is>
      </c>
      <c r="C44" s="30" t="inlineStr">
        <is>
          <t>Information Technology</t>
        </is>
      </c>
      <c r="D44" s="29" t="n">
        <v>2025</v>
      </c>
      <c r="E44" s="29" t="n">
        <v>2029</v>
      </c>
      <c r="F44" s="31" t="n">
        <v>65</v>
      </c>
      <c r="G44" s="31" t="n">
        <v>85</v>
      </c>
      <c r="H44" s="31" t="n">
        <v>79</v>
      </c>
      <c r="I44" s="31" t="n">
        <v>83</v>
      </c>
      <c r="J44" s="31" t="n">
        <v>69</v>
      </c>
      <c r="K44" s="31" t="n">
        <v>74</v>
      </c>
      <c r="L44" s="31" t="n">
        <v>81</v>
      </c>
      <c r="M44" s="31" t="n">
        <v>78</v>
      </c>
      <c r="N44" s="31" t="n">
        <v>83</v>
      </c>
      <c r="O44" s="31" t="n">
        <v>71</v>
      </c>
      <c r="P44" s="31" t="n">
        <v>68</v>
      </c>
      <c r="Q44" s="31" t="n">
        <v>81</v>
      </c>
      <c r="R44" s="31" t="n">
        <v>84</v>
      </c>
      <c r="S44" s="31" t="n">
        <v>72</v>
      </c>
      <c r="T44" s="31" t="n">
        <v>69</v>
      </c>
      <c r="U44" s="31" t="n">
        <v>83</v>
      </c>
      <c r="V44" s="31" t="n">
        <v>60</v>
      </c>
      <c r="W44" s="31" t="n">
        <v>78</v>
      </c>
      <c r="X44" s="32">
        <f>SUM(F44:W44)</f>
        <v/>
      </c>
      <c r="Y44" s="33">
        <f>ROUND(X44/1800, 4)</f>
        <v/>
      </c>
      <c r="Z44" s="34">
        <f>COUNTIF(F44:W44, "&lt;30")</f>
        <v/>
      </c>
      <c r="AA44" s="34">
        <f>IF(Z44=0, "Not Applicable (Passed All)", IF(Z44&lt;=3, "YES - Eligible for ATKT", "NO - Ineligible (&gt; 3 Backlogs)"))</f>
        <v/>
      </c>
      <c r="AB44" s="35">
        <f>IF(Z44=0, "PASS", IF(Z44&lt;=3, "PROMOTED WITH ATKT", "FAIL (YEAR DOWN)"))</f>
        <v/>
      </c>
    </row>
    <row r="45" ht="20" customHeight="1">
      <c r="A45" s="36" t="inlineStr">
        <is>
          <t>2025CS040</t>
        </is>
      </c>
      <c r="B45" s="37" t="inlineStr">
        <is>
          <t>Jayant Nanda</t>
        </is>
      </c>
      <c r="C45" s="37" t="inlineStr">
        <is>
          <t>Computer Science &amp; Engineering</t>
        </is>
      </c>
      <c r="D45" s="36" t="n">
        <v>2025</v>
      </c>
      <c r="E45" s="36" t="n">
        <v>2029</v>
      </c>
      <c r="F45" s="38" t="n">
        <v>65</v>
      </c>
      <c r="G45" s="38" t="n">
        <v>63</v>
      </c>
      <c r="H45" s="38" t="n">
        <v>51</v>
      </c>
      <c r="I45" s="38" t="n">
        <v>50</v>
      </c>
      <c r="J45" s="38" t="n">
        <v>52</v>
      </c>
      <c r="K45" s="38" t="n">
        <v>68</v>
      </c>
      <c r="L45" s="38" t="n">
        <v>66</v>
      </c>
      <c r="M45" s="38" t="n">
        <v>50</v>
      </c>
      <c r="N45" s="38" t="n">
        <v>52</v>
      </c>
      <c r="O45" s="38" t="n">
        <v>63</v>
      </c>
      <c r="P45" s="38" t="n">
        <v>39</v>
      </c>
      <c r="Q45" s="38" t="n">
        <v>53</v>
      </c>
      <c r="R45" s="38" t="n">
        <v>50</v>
      </c>
      <c r="S45" s="38" t="n">
        <v>52</v>
      </c>
      <c r="T45" s="38" t="n">
        <v>56</v>
      </c>
      <c r="U45" s="38" t="n">
        <v>55</v>
      </c>
      <c r="V45" s="38" t="n">
        <v>69</v>
      </c>
      <c r="W45" s="38" t="n">
        <v>40</v>
      </c>
      <c r="X45" s="39">
        <f>SUM(F45:W45)</f>
        <v/>
      </c>
      <c r="Y45" s="40">
        <f>ROUND(X45/1800, 4)</f>
        <v/>
      </c>
      <c r="Z45" s="34">
        <f>COUNTIF(F45:W45, "&lt;30")</f>
        <v/>
      </c>
      <c r="AA45" s="34">
        <f>IF(Z45=0, "Not Applicable (Passed All)", IF(Z45&lt;=3, "YES - Eligible for ATKT", "NO - Ineligible (&gt; 3 Backlogs)"))</f>
        <v/>
      </c>
      <c r="AB45" s="35">
        <f>IF(Z45=0, "PASS", IF(Z45&lt;=3, "PROMOTED WITH ATKT", "FAIL (YEAR DOWN)"))</f>
        <v/>
      </c>
    </row>
    <row r="46" ht="20" customHeight="1">
      <c r="A46" s="29" t="inlineStr">
        <is>
          <t>2025CS041</t>
        </is>
      </c>
      <c r="B46" s="30" t="inlineStr">
        <is>
          <t>Kriti Sanon</t>
        </is>
      </c>
      <c r="C46" s="30" t="inlineStr">
        <is>
          <t>Artificial Intelligence &amp; DS</t>
        </is>
      </c>
      <c r="D46" s="29" t="n">
        <v>2025</v>
      </c>
      <c r="E46" s="29" t="n">
        <v>2029</v>
      </c>
      <c r="F46" s="31" t="n">
        <v>74</v>
      </c>
      <c r="G46" s="31" t="n">
        <v>74</v>
      </c>
      <c r="H46" s="31" t="n">
        <v>77</v>
      </c>
      <c r="I46" s="31" t="n">
        <v>82</v>
      </c>
      <c r="J46" s="31" t="n">
        <v>92</v>
      </c>
      <c r="K46" s="31" t="n">
        <v>74</v>
      </c>
      <c r="L46" s="31" t="n">
        <v>92</v>
      </c>
      <c r="M46" s="31" t="n">
        <v>76</v>
      </c>
      <c r="N46" s="31" t="n">
        <v>72</v>
      </c>
      <c r="O46" s="31" t="n">
        <v>83</v>
      </c>
      <c r="P46" s="31" t="n">
        <v>83</v>
      </c>
      <c r="Q46" s="31" t="n">
        <v>80</v>
      </c>
      <c r="R46" s="31" t="n">
        <v>87</v>
      </c>
      <c r="S46" s="31" t="n">
        <v>84</v>
      </c>
      <c r="T46" s="31" t="n">
        <v>83</v>
      </c>
      <c r="U46" s="31" t="n">
        <v>71</v>
      </c>
      <c r="V46" s="31" t="n">
        <v>76</v>
      </c>
      <c r="W46" s="31" t="n">
        <v>96</v>
      </c>
      <c r="X46" s="32">
        <f>SUM(F46:W46)</f>
        <v/>
      </c>
      <c r="Y46" s="33">
        <f>ROUND(X46/1800, 4)</f>
        <v/>
      </c>
      <c r="Z46" s="34">
        <f>COUNTIF(F46:W46, "&lt;30")</f>
        <v/>
      </c>
      <c r="AA46" s="34">
        <f>IF(Z46=0, "Not Applicable (Passed All)", IF(Z46&lt;=3, "YES - Eligible for ATKT", "NO - Ineligible (&gt; 3 Backlogs)"))</f>
        <v/>
      </c>
      <c r="AB46" s="35">
        <f>IF(Z46=0, "PASS", IF(Z46&lt;=3, "PROMOTED WITH ATKT", "FAIL (YEAR DOWN)"))</f>
        <v/>
      </c>
    </row>
    <row r="47" ht="20" customHeight="1">
      <c r="A47" s="36" t="inlineStr">
        <is>
          <t>2025CS042</t>
        </is>
      </c>
      <c r="B47" s="37" t="inlineStr">
        <is>
          <t>Lakshya Singhal</t>
        </is>
      </c>
      <c r="C47" s="37" t="inlineStr">
        <is>
          <t>Information Technology</t>
        </is>
      </c>
      <c r="D47" s="36" t="n">
        <v>2025</v>
      </c>
      <c r="E47" s="36" t="n">
        <v>2029</v>
      </c>
      <c r="F47" s="38" t="n">
        <v>43</v>
      </c>
      <c r="G47" s="41" t="n">
        <v>20</v>
      </c>
      <c r="H47" s="38" t="n">
        <v>48</v>
      </c>
      <c r="I47" s="38" t="n">
        <v>52</v>
      </c>
      <c r="J47" s="41" t="n">
        <v>14</v>
      </c>
      <c r="K47" s="38" t="n">
        <v>48</v>
      </c>
      <c r="L47" s="38" t="n">
        <v>42</v>
      </c>
      <c r="M47" s="41" t="n">
        <v>21</v>
      </c>
      <c r="N47" s="38" t="n">
        <v>30</v>
      </c>
      <c r="O47" s="38" t="n">
        <v>41</v>
      </c>
      <c r="P47" s="41" t="n">
        <v>18</v>
      </c>
      <c r="Q47" s="38" t="n">
        <v>42</v>
      </c>
      <c r="R47" s="38" t="n">
        <v>43</v>
      </c>
      <c r="S47" s="41" t="n">
        <v>22</v>
      </c>
      <c r="T47" s="38" t="n">
        <v>47</v>
      </c>
      <c r="U47" s="38" t="n">
        <v>49</v>
      </c>
      <c r="V47" s="38" t="n">
        <v>37</v>
      </c>
      <c r="W47" s="38" t="n">
        <v>45</v>
      </c>
      <c r="X47" s="39">
        <f>SUM(F47:W47)</f>
        <v/>
      </c>
      <c r="Y47" s="40">
        <f>ROUND(X47/1800, 4)</f>
        <v/>
      </c>
      <c r="Z47" s="41">
        <f>COUNTIF(F47:W47, "&lt;30")</f>
        <v/>
      </c>
      <c r="AA47" s="41">
        <f>IF(Z47=0, "Not Applicable (Passed All)", IF(Z47&lt;=3, "YES - Eligible for ATKT", "NO - Ineligible (&gt; 3 Backlogs)"))</f>
        <v/>
      </c>
      <c r="AB47" s="41">
        <f>IF(Z47=0, "PASS", IF(Z47&lt;=3, "PROMOTED WITH ATKT", "FAIL (YEAR DOWN)"))</f>
        <v/>
      </c>
    </row>
    <row r="48" ht="20" customHeight="1">
      <c r="A48" s="29" t="inlineStr">
        <is>
          <t>2025CS043</t>
        </is>
      </c>
      <c r="B48" s="30" t="inlineStr">
        <is>
          <t>Maya Krishnan</t>
        </is>
      </c>
      <c r="C48" s="30" t="inlineStr">
        <is>
          <t>Computer Science &amp; Engineering</t>
        </is>
      </c>
      <c r="D48" s="29" t="n">
        <v>2025</v>
      </c>
      <c r="E48" s="29" t="n">
        <v>2029</v>
      </c>
      <c r="F48" s="31" t="n">
        <v>62</v>
      </c>
      <c r="G48" s="31" t="n">
        <v>63</v>
      </c>
      <c r="H48" s="31" t="n">
        <v>68</v>
      </c>
      <c r="I48" s="31" t="n">
        <v>70</v>
      </c>
      <c r="J48" s="31" t="n">
        <v>55</v>
      </c>
      <c r="K48" s="31" t="n">
        <v>67</v>
      </c>
      <c r="L48" s="31" t="n">
        <v>65</v>
      </c>
      <c r="M48" s="31" t="n">
        <v>76</v>
      </c>
      <c r="N48" s="31" t="n">
        <v>76</v>
      </c>
      <c r="O48" s="31" t="n">
        <v>80</v>
      </c>
      <c r="P48" s="31" t="n">
        <v>67</v>
      </c>
      <c r="Q48" s="31" t="n">
        <v>78</v>
      </c>
      <c r="R48" s="31" t="n">
        <v>60</v>
      </c>
      <c r="S48" s="31" t="n">
        <v>81</v>
      </c>
      <c r="T48" s="31" t="n">
        <v>69</v>
      </c>
      <c r="U48" s="31" t="n">
        <v>84</v>
      </c>
      <c r="V48" s="31" t="n">
        <v>59</v>
      </c>
      <c r="W48" s="31" t="n">
        <v>74</v>
      </c>
      <c r="X48" s="32">
        <f>SUM(F48:W48)</f>
        <v/>
      </c>
      <c r="Y48" s="33">
        <f>ROUND(X48/1800, 4)</f>
        <v/>
      </c>
      <c r="Z48" s="34">
        <f>COUNTIF(F48:W48, "&lt;30")</f>
        <v/>
      </c>
      <c r="AA48" s="34">
        <f>IF(Z48=0, "Not Applicable (Passed All)", IF(Z48&lt;=3, "YES - Eligible for ATKT", "NO - Ineligible (&gt; 3 Backlogs)"))</f>
        <v/>
      </c>
      <c r="AB48" s="35">
        <f>IF(Z48=0, "PASS", IF(Z48&lt;=3, "PROMOTED WITH ATKT", "FAIL (YEAR DOWN)"))</f>
        <v/>
      </c>
    </row>
    <row r="49" ht="20" customHeight="1">
      <c r="A49" s="36" t="inlineStr">
        <is>
          <t>2025CS044</t>
        </is>
      </c>
      <c r="B49" s="37" t="inlineStr">
        <is>
          <t>Nakul Shenoy</t>
        </is>
      </c>
      <c r="C49" s="37" t="inlineStr">
        <is>
          <t>Computer Engineering</t>
        </is>
      </c>
      <c r="D49" s="36" t="n">
        <v>2025</v>
      </c>
      <c r="E49" s="36" t="n">
        <v>2029</v>
      </c>
      <c r="F49" s="38" t="n">
        <v>69</v>
      </c>
      <c r="G49" s="38" t="n">
        <v>36</v>
      </c>
      <c r="H49" s="38" t="n">
        <v>60</v>
      </c>
      <c r="I49" s="41" t="n">
        <v>25</v>
      </c>
      <c r="J49" s="38" t="n">
        <v>71</v>
      </c>
      <c r="K49" s="38" t="n">
        <v>77</v>
      </c>
      <c r="L49" s="38" t="n">
        <v>36</v>
      </c>
      <c r="M49" s="38" t="n">
        <v>40</v>
      </c>
      <c r="N49" s="38" t="n">
        <v>76</v>
      </c>
      <c r="O49" s="38" t="n">
        <v>62</v>
      </c>
      <c r="P49" s="38" t="n">
        <v>43</v>
      </c>
      <c r="Q49" s="38" t="n">
        <v>64</v>
      </c>
      <c r="R49" s="38" t="n">
        <v>46</v>
      </c>
      <c r="S49" s="38" t="n">
        <v>38</v>
      </c>
      <c r="T49" s="38" t="n">
        <v>51</v>
      </c>
      <c r="U49" s="38" t="n">
        <v>59</v>
      </c>
      <c r="V49" s="41" t="n">
        <v>21</v>
      </c>
      <c r="W49" s="38" t="n">
        <v>48</v>
      </c>
      <c r="X49" s="39">
        <f>SUM(F49:W49)</f>
        <v/>
      </c>
      <c r="Y49" s="40">
        <f>ROUND(X49/1800, 4)</f>
        <v/>
      </c>
      <c r="Z49" s="41">
        <f>COUNTIF(F49:W49, "&lt;30")</f>
        <v/>
      </c>
      <c r="AA49" s="42">
        <f>IF(Z49=0, "Not Applicable (Passed All)", IF(Z49&lt;=3, "YES - Eligible for ATKT", "NO - Ineligible (&gt; 3 Backlogs)"))</f>
        <v/>
      </c>
      <c r="AB49" s="42">
        <f>IF(Z49=0, "PASS", IF(Z49&lt;=3, "PROMOTED WITH ATKT", "FAIL (YEAR DOWN)"))</f>
        <v/>
      </c>
    </row>
    <row r="50" ht="20" customHeight="1">
      <c r="A50" s="29" t="inlineStr">
        <is>
          <t>2025CS045</t>
        </is>
      </c>
      <c r="B50" s="30" t="inlineStr">
        <is>
          <t>Ojasvi Bhatia</t>
        </is>
      </c>
      <c r="C50" s="30" t="inlineStr">
        <is>
          <t>Artificial Intelligence &amp; DS</t>
        </is>
      </c>
      <c r="D50" s="29" t="n">
        <v>2025</v>
      </c>
      <c r="E50" s="29" t="n">
        <v>2029</v>
      </c>
      <c r="F50" s="31" t="n">
        <v>84</v>
      </c>
      <c r="G50" s="31" t="n">
        <v>80</v>
      </c>
      <c r="H50" s="31" t="n">
        <v>80</v>
      </c>
      <c r="I50" s="31" t="n">
        <v>94</v>
      </c>
      <c r="J50" s="31" t="n">
        <v>98</v>
      </c>
      <c r="K50" s="31" t="n">
        <v>82</v>
      </c>
      <c r="L50" s="31" t="n">
        <v>78</v>
      </c>
      <c r="M50" s="31" t="n">
        <v>94</v>
      </c>
      <c r="N50" s="31" t="n">
        <v>96</v>
      </c>
      <c r="O50" s="31" t="n">
        <v>83</v>
      </c>
      <c r="P50" s="31" t="n">
        <v>78</v>
      </c>
      <c r="Q50" s="31" t="n">
        <v>96</v>
      </c>
      <c r="R50" s="31" t="n">
        <v>72</v>
      </c>
      <c r="S50" s="31" t="n">
        <v>85</v>
      </c>
      <c r="T50" s="31" t="n">
        <v>70</v>
      </c>
      <c r="U50" s="31" t="n">
        <v>93</v>
      </c>
      <c r="V50" s="31" t="n">
        <v>87</v>
      </c>
      <c r="W50" s="31" t="n">
        <v>71</v>
      </c>
      <c r="X50" s="32">
        <f>SUM(F50:W50)</f>
        <v/>
      </c>
      <c r="Y50" s="33">
        <f>ROUND(X50/1800, 4)</f>
        <v/>
      </c>
      <c r="Z50" s="34">
        <f>COUNTIF(F50:W50, "&lt;30")</f>
        <v/>
      </c>
      <c r="AA50" s="34">
        <f>IF(Z50=0, "Not Applicable (Passed All)", IF(Z50&lt;=3, "YES - Eligible for ATKT", "NO - Ineligible (&gt; 3 Backlogs)"))</f>
        <v/>
      </c>
      <c r="AB50" s="35">
        <f>IF(Z50=0, "PASS", IF(Z50&lt;=3, "PROMOTED WITH ATKT", "FAIL (YEAR DOWN)"))</f>
        <v/>
      </c>
    </row>
    <row r="51" ht="20" customHeight="1">
      <c r="A51" s="36" t="inlineStr">
        <is>
          <t>2025CS046</t>
        </is>
      </c>
      <c r="B51" s="37" t="inlineStr">
        <is>
          <t>Parth Soman</t>
        </is>
      </c>
      <c r="C51" s="37" t="inlineStr">
        <is>
          <t>Information Technology</t>
        </is>
      </c>
      <c r="D51" s="36" t="n">
        <v>2025</v>
      </c>
      <c r="E51" s="36" t="n">
        <v>2029</v>
      </c>
      <c r="F51" s="38" t="n">
        <v>57</v>
      </c>
      <c r="G51" s="38" t="n">
        <v>49</v>
      </c>
      <c r="H51" s="38" t="n">
        <v>39</v>
      </c>
      <c r="I51" s="38" t="n">
        <v>37</v>
      </c>
      <c r="J51" s="38" t="n">
        <v>36</v>
      </c>
      <c r="K51" s="38" t="n">
        <v>50</v>
      </c>
      <c r="L51" s="38" t="n">
        <v>47</v>
      </c>
      <c r="M51" s="38" t="n">
        <v>36</v>
      </c>
      <c r="N51" s="38" t="n">
        <v>44</v>
      </c>
      <c r="O51" s="38" t="n">
        <v>50</v>
      </c>
      <c r="P51" s="38" t="n">
        <v>43</v>
      </c>
      <c r="Q51" s="38" t="n">
        <v>65</v>
      </c>
      <c r="R51" s="38" t="n">
        <v>42</v>
      </c>
      <c r="S51" s="38" t="n">
        <v>71</v>
      </c>
      <c r="T51" s="38" t="n">
        <v>48</v>
      </c>
      <c r="U51" s="38" t="n">
        <v>64</v>
      </c>
      <c r="V51" s="38" t="n">
        <v>51</v>
      </c>
      <c r="W51" s="38" t="n">
        <v>58</v>
      </c>
      <c r="X51" s="39">
        <f>SUM(F51:W51)</f>
        <v/>
      </c>
      <c r="Y51" s="40">
        <f>ROUND(X51/1800, 4)</f>
        <v/>
      </c>
      <c r="Z51" s="34">
        <f>COUNTIF(F51:W51, "&lt;30")</f>
        <v/>
      </c>
      <c r="AA51" s="34">
        <f>IF(Z51=0, "Not Applicable (Passed All)", IF(Z51&lt;=3, "YES - Eligible for ATKT", "NO - Ineligible (&gt; 3 Backlogs)"))</f>
        <v/>
      </c>
      <c r="AB51" s="35">
        <f>IF(Z51=0, "PASS", IF(Z51&lt;=3, "PROMOTED WITH ATKT", "FAIL (YEAR DOWN)"))</f>
        <v/>
      </c>
    </row>
    <row r="52" ht="20" customHeight="1">
      <c r="A52" s="29" t="inlineStr">
        <is>
          <t>2025CS047</t>
        </is>
      </c>
      <c r="B52" s="30" t="inlineStr">
        <is>
          <t>Radhika Apte</t>
        </is>
      </c>
      <c r="C52" s="30" t="inlineStr">
        <is>
          <t>Computer Science &amp; Engineering</t>
        </is>
      </c>
      <c r="D52" s="29" t="n">
        <v>2025</v>
      </c>
      <c r="E52" s="29" t="n">
        <v>2029</v>
      </c>
      <c r="F52" s="31" t="n">
        <v>60</v>
      </c>
      <c r="G52" s="31" t="n">
        <v>74</v>
      </c>
      <c r="H52" s="31" t="n">
        <v>74</v>
      </c>
      <c r="I52" s="31" t="n">
        <v>85</v>
      </c>
      <c r="J52" s="31" t="n">
        <v>78</v>
      </c>
      <c r="K52" s="31" t="n">
        <v>77</v>
      </c>
      <c r="L52" s="31" t="n">
        <v>58</v>
      </c>
      <c r="M52" s="31" t="n">
        <v>79</v>
      </c>
      <c r="N52" s="31" t="n">
        <v>81</v>
      </c>
      <c r="O52" s="31" t="n">
        <v>60</v>
      </c>
      <c r="P52" s="31" t="n">
        <v>85</v>
      </c>
      <c r="Q52" s="31" t="n">
        <v>64</v>
      </c>
      <c r="R52" s="31" t="n">
        <v>58</v>
      </c>
      <c r="S52" s="31" t="n">
        <v>73</v>
      </c>
      <c r="T52" s="31" t="n">
        <v>55</v>
      </c>
      <c r="U52" s="31" t="n">
        <v>84</v>
      </c>
      <c r="V52" s="31" t="n">
        <v>64</v>
      </c>
      <c r="W52" s="31" t="n">
        <v>73</v>
      </c>
      <c r="X52" s="32">
        <f>SUM(F52:W52)</f>
        <v/>
      </c>
      <c r="Y52" s="33">
        <f>ROUND(X52/1800, 4)</f>
        <v/>
      </c>
      <c r="Z52" s="34">
        <f>COUNTIF(F52:W52, "&lt;30")</f>
        <v/>
      </c>
      <c r="AA52" s="34">
        <f>IF(Z52=0, "Not Applicable (Passed All)", IF(Z52&lt;=3, "YES - Eligible for ATKT", "NO - Ineligible (&gt; 3 Backlogs)"))</f>
        <v/>
      </c>
      <c r="AB52" s="35">
        <f>IF(Z52=0, "PASS", IF(Z52&lt;=3, "PROMOTED WITH ATKT", "FAIL (YEAR DOWN)"))</f>
        <v/>
      </c>
    </row>
    <row r="53" ht="20" customHeight="1">
      <c r="A53" s="36" t="inlineStr">
        <is>
          <t>2025CS048</t>
        </is>
      </c>
      <c r="B53" s="37" t="inlineStr">
        <is>
          <t>Sameer Kadam</t>
        </is>
      </c>
      <c r="C53" s="37" t="inlineStr">
        <is>
          <t>Computer Engineering</t>
        </is>
      </c>
      <c r="D53" s="36" t="n">
        <v>2025</v>
      </c>
      <c r="E53" s="36" t="n">
        <v>2029</v>
      </c>
      <c r="F53" s="38" t="n">
        <v>59</v>
      </c>
      <c r="G53" s="38" t="n">
        <v>60</v>
      </c>
      <c r="H53" s="38" t="n">
        <v>47</v>
      </c>
      <c r="I53" s="38" t="n">
        <v>39</v>
      </c>
      <c r="J53" s="38" t="n">
        <v>72</v>
      </c>
      <c r="K53" s="38" t="n">
        <v>50</v>
      </c>
      <c r="L53" s="38" t="n">
        <v>41</v>
      </c>
      <c r="M53" s="38" t="n">
        <v>54</v>
      </c>
      <c r="N53" s="38" t="n">
        <v>42</v>
      </c>
      <c r="O53" s="38" t="n">
        <v>71</v>
      </c>
      <c r="P53" s="38" t="n">
        <v>37</v>
      </c>
      <c r="Q53" s="38" t="n">
        <v>57</v>
      </c>
      <c r="R53" s="38" t="n">
        <v>69</v>
      </c>
      <c r="S53" s="38" t="n">
        <v>62</v>
      </c>
      <c r="T53" s="38" t="n">
        <v>58</v>
      </c>
      <c r="U53" s="38" t="n">
        <v>39</v>
      </c>
      <c r="V53" s="38" t="n">
        <v>67</v>
      </c>
      <c r="W53" s="38" t="n">
        <v>56</v>
      </c>
      <c r="X53" s="39">
        <f>SUM(F53:W53)</f>
        <v/>
      </c>
      <c r="Y53" s="40">
        <f>ROUND(X53/1800, 4)</f>
        <v/>
      </c>
      <c r="Z53" s="34">
        <f>COUNTIF(F53:W53, "&lt;30")</f>
        <v/>
      </c>
      <c r="AA53" s="34">
        <f>IF(Z53=0, "Not Applicable (Passed All)", IF(Z53&lt;=3, "YES - Eligible for ATKT", "NO - Ineligible (&gt; 3 Backlogs)"))</f>
        <v/>
      </c>
      <c r="AB53" s="35">
        <f>IF(Z53=0, "PASS", IF(Z53&lt;=3, "PROMOTED WITH ATKT", "FAIL (YEAR DOWN)"))</f>
        <v/>
      </c>
    </row>
    <row r="54" ht="20" customHeight="1">
      <c r="A54" s="29" t="inlineStr">
        <is>
          <t>2025CS049</t>
        </is>
      </c>
      <c r="B54" s="30" t="inlineStr">
        <is>
          <t>Trisha Mukherjee</t>
        </is>
      </c>
      <c r="C54" s="30" t="inlineStr">
        <is>
          <t>Information Technology</t>
        </is>
      </c>
      <c r="D54" s="29" t="n">
        <v>2025</v>
      </c>
      <c r="E54" s="29" t="n">
        <v>2029</v>
      </c>
      <c r="F54" s="31" t="n">
        <v>35</v>
      </c>
      <c r="G54" s="31" t="n">
        <v>61</v>
      </c>
      <c r="H54" s="31" t="n">
        <v>66</v>
      </c>
      <c r="I54" s="31" t="n">
        <v>41</v>
      </c>
      <c r="J54" s="31" t="n">
        <v>62</v>
      </c>
      <c r="K54" s="31" t="n">
        <v>58</v>
      </c>
      <c r="L54" s="31" t="n">
        <v>75</v>
      </c>
      <c r="M54" s="31" t="n">
        <v>64</v>
      </c>
      <c r="N54" s="31" t="n">
        <v>44</v>
      </c>
      <c r="O54" s="31" t="n">
        <v>62</v>
      </c>
      <c r="P54" s="31" t="n">
        <v>46</v>
      </c>
      <c r="Q54" s="31" t="n">
        <v>68</v>
      </c>
      <c r="R54" s="31" t="n">
        <v>76</v>
      </c>
      <c r="S54" s="31" t="n">
        <v>52</v>
      </c>
      <c r="T54" s="31" t="n">
        <v>74</v>
      </c>
      <c r="U54" s="31" t="n">
        <v>69</v>
      </c>
      <c r="V54" s="31" t="n">
        <v>65</v>
      </c>
      <c r="W54" s="41" t="n">
        <v>23</v>
      </c>
      <c r="X54" s="32">
        <f>SUM(F54:W54)</f>
        <v/>
      </c>
      <c r="Y54" s="33">
        <f>ROUND(X54/1800, 4)</f>
        <v/>
      </c>
      <c r="Z54" s="41">
        <f>COUNTIF(F54:W54, "&lt;30")</f>
        <v/>
      </c>
      <c r="AA54" s="42">
        <f>IF(Z54=0, "Not Applicable (Passed All)", IF(Z54&lt;=3, "YES - Eligible for ATKT", "NO - Ineligible (&gt; 3 Backlogs)"))</f>
        <v/>
      </c>
      <c r="AB54" s="42">
        <f>IF(Z54=0, "PASS", IF(Z54&lt;=3, "PROMOTED WITH ATKT", "FAIL (YEAR DOWN)"))</f>
        <v/>
      </c>
    </row>
    <row r="55" ht="20" customHeight="1">
      <c r="A55" s="36" t="inlineStr">
        <is>
          <t>2025CS050</t>
        </is>
      </c>
      <c r="B55" s="37" t="inlineStr">
        <is>
          <t>Utkarsh Dixit</t>
        </is>
      </c>
      <c r="C55" s="37" t="inlineStr">
        <is>
          <t>Computer Science &amp; Engineering</t>
        </is>
      </c>
      <c r="D55" s="36" t="n">
        <v>2025</v>
      </c>
      <c r="E55" s="36" t="n">
        <v>2029</v>
      </c>
      <c r="F55" s="41" t="n">
        <v>20</v>
      </c>
      <c r="G55" s="38" t="n">
        <v>48</v>
      </c>
      <c r="H55" s="41" t="n">
        <v>18</v>
      </c>
      <c r="I55" s="38" t="n">
        <v>40</v>
      </c>
      <c r="J55" s="41" t="n">
        <v>27</v>
      </c>
      <c r="K55" s="38" t="n">
        <v>37</v>
      </c>
      <c r="L55" s="41" t="n">
        <v>27</v>
      </c>
      <c r="M55" s="38" t="n">
        <v>32</v>
      </c>
      <c r="N55" s="41" t="n">
        <v>18</v>
      </c>
      <c r="O55" s="38" t="n">
        <v>44</v>
      </c>
      <c r="P55" s="41" t="n">
        <v>17</v>
      </c>
      <c r="Q55" s="38" t="n">
        <v>44</v>
      </c>
      <c r="R55" s="41" t="n">
        <v>23</v>
      </c>
      <c r="S55" s="38" t="n">
        <v>49</v>
      </c>
      <c r="T55" s="38" t="n">
        <v>51</v>
      </c>
      <c r="U55" s="38" t="n">
        <v>42</v>
      </c>
      <c r="V55" s="38" t="n">
        <v>40</v>
      </c>
      <c r="W55" s="38" t="n">
        <v>30</v>
      </c>
      <c r="X55" s="39">
        <f>SUM(F55:W55)</f>
        <v/>
      </c>
      <c r="Y55" s="40">
        <f>ROUND(X55/1800, 4)</f>
        <v/>
      </c>
      <c r="Z55" s="41">
        <f>COUNTIF(F55:W55, "&lt;30")</f>
        <v/>
      </c>
      <c r="AA55" s="41">
        <f>IF(Z55=0, "Not Applicable (Passed All)", IF(Z55&lt;=3, "YES - Eligible for ATKT", "NO - Ineligible (&gt; 3 Backlogs)"))</f>
        <v/>
      </c>
      <c r="AB55" s="41">
        <f>IF(Z55=0, "PASS", IF(Z55&lt;=3, "PROMOTED WITH ATKT", "FAIL (YEAR DOWN)"))</f>
        <v/>
      </c>
    </row>
    <row r="56" ht="24" customHeight="1">
      <c r="A56" s="43" t="inlineStr">
        <is>
          <t>CLASS BATCH AVERAGE</t>
        </is>
      </c>
      <c r="B56" s="44" t="n"/>
      <c r="C56" s="44" t="n"/>
      <c r="D56" s="44" t="n"/>
      <c r="E56" s="44" t="n"/>
      <c r="F56" s="45">
        <f>AVERAGE(F6:F55)</f>
        <v/>
      </c>
      <c r="G56" s="45">
        <f>AVERAGE(G6:G55)</f>
        <v/>
      </c>
      <c r="H56" s="45">
        <f>AVERAGE(H6:H55)</f>
        <v/>
      </c>
      <c r="I56" s="45">
        <f>AVERAGE(I6:I55)</f>
        <v/>
      </c>
      <c r="J56" s="45">
        <f>AVERAGE(J6:J55)</f>
        <v/>
      </c>
      <c r="K56" s="45">
        <f>AVERAGE(K6:K55)</f>
        <v/>
      </c>
      <c r="L56" s="45">
        <f>AVERAGE(L6:L55)</f>
        <v/>
      </c>
      <c r="M56" s="45">
        <f>AVERAGE(M6:M55)</f>
        <v/>
      </c>
      <c r="N56" s="45">
        <f>AVERAGE(N6:N55)</f>
        <v/>
      </c>
      <c r="O56" s="45">
        <f>AVERAGE(O6:O55)</f>
        <v/>
      </c>
      <c r="P56" s="45">
        <f>AVERAGE(P6:P55)</f>
        <v/>
      </c>
      <c r="Q56" s="45">
        <f>AVERAGE(Q6:Q55)</f>
        <v/>
      </c>
      <c r="R56" s="45">
        <f>AVERAGE(R6:R55)</f>
        <v/>
      </c>
      <c r="S56" s="45">
        <f>AVERAGE(S6:S55)</f>
        <v/>
      </c>
      <c r="T56" s="45">
        <f>AVERAGE(T6:T55)</f>
        <v/>
      </c>
      <c r="U56" s="45">
        <f>AVERAGE(U6:U55)</f>
        <v/>
      </c>
      <c r="V56" s="45">
        <f>AVERAGE(V6:V55)</f>
        <v/>
      </c>
      <c r="W56" s="45">
        <f>AVERAGE(W6:W55)</f>
        <v/>
      </c>
      <c r="X56" s="46">
        <f>AVERAGE(X6:X55)</f>
        <v/>
      </c>
      <c r="Y56" s="47">
        <f>AVERAGE(Y6:Y55)</f>
        <v/>
      </c>
      <c r="Z56" s="45">
        <f>AVERAGE(Z6:Z55)</f>
        <v/>
      </c>
      <c r="AA56" s="48" t="inlineStr">
        <is>
          <t>-</t>
        </is>
      </c>
      <c r="AB56" s="48" t="inlineStr">
        <is>
          <t>-</t>
        </is>
      </c>
    </row>
    <row r="57"/>
    <row r="58">
      <c r="B58" s="49" t="inlineStr">
        <is>
          <t>ACADEMIC PERFORMANCE &amp; ATKT COHORT METRICS</t>
        </is>
      </c>
      <c r="L58" s="49" t="inlineStr">
        <is>
          <t>ATKT (ALLOWED TO KEEP TERM) REGULATIONS &amp; CRITERIA</t>
        </is>
      </c>
    </row>
    <row r="59" ht="20" customHeight="1">
      <c r="B59" s="50" t="inlineStr">
        <is>
          <t>Total Students Enrolled</t>
        </is>
      </c>
      <c r="F59" s="51">
        <f>COUNTA(A6:A55)</f>
        <v/>
      </c>
      <c r="L59" s="52" t="inlineStr">
        <is>
          <t>Passing Standard</t>
        </is>
      </c>
      <c r="O59" s="53" t="inlineStr">
        <is>
          <t>Minimum 30 marks out of 100 in each course. Marks below 30 are designated as Fail / Backlog.</t>
        </is>
      </c>
    </row>
    <row r="60" ht="20" customHeight="1">
      <c r="B60" s="50" t="inlineStr">
        <is>
          <t>Students Passed (0 Backlogs)</t>
        </is>
      </c>
      <c r="F60" s="51">
        <f>COUNTIF(AB6:AB55, "PASS")</f>
        <v/>
      </c>
      <c r="L60" s="52" t="inlineStr">
        <is>
          <t>ATKT Eligibility Threshold</t>
        </is>
      </c>
      <c r="O60" s="53" t="inlineStr">
        <is>
          <t>A student is Allowed To Keep Term (ATKT) if they have between 1 and 3 cumulative backlogs across Semesters 1 to 6.</t>
        </is>
      </c>
    </row>
    <row r="61" ht="20" customHeight="1">
      <c r="B61" s="50" t="inlineStr">
        <is>
          <t>Students Eligible for ATKT (1 - 3 Backlogs)</t>
        </is>
      </c>
      <c r="F61" s="51">
        <f>COUNTIF(AB6:AB55, "PROMOTED WITH ATKT")</f>
        <v/>
      </c>
      <c r="L61" s="52" t="inlineStr">
        <is>
          <t>Promotion with ATKT</t>
        </is>
      </c>
      <c r="O61" s="53" t="inlineStr">
        <is>
          <t>Students with ATKT eligibility are promoted to Final Year (Semester 7) while simultaneously clearing pending backlogs in remedial sessions.</t>
        </is>
      </c>
    </row>
    <row r="62" ht="20" customHeight="1">
      <c r="B62" s="50" t="inlineStr">
        <is>
          <t>Students Failed / Year Down (&gt; 3 Backlogs)</t>
        </is>
      </c>
      <c r="F62" s="51">
        <f>COUNTIF(AB6:AB55, "FAIL (YEAR DOWN)")</f>
        <v/>
      </c>
      <c r="L62" s="52" t="inlineStr">
        <is>
          <t>Year Down / Ineligible</t>
        </is>
      </c>
      <c r="O62" s="53" t="inlineStr">
        <is>
          <t>Students with 4 or more backlogs exceed permissible credit backlog limits and cannot proceed to Final Year (must repeat academic year).</t>
        </is>
      </c>
    </row>
    <row r="63" ht="20" customHeight="1">
      <c r="B63" s="50" t="inlineStr">
        <is>
          <t>Highest Aggregate Marks Obtained</t>
        </is>
      </c>
      <c r="F63" s="51">
        <f>MAX(X6:X55)</f>
        <v/>
      </c>
      <c r="L63" s="52" t="inlineStr">
        <is>
          <t>Result Category: PASS</t>
        </is>
      </c>
      <c r="O63" s="53" t="inlineStr">
        <is>
          <t>Student has cleared all 18 subjects across 6 semesters (0 backlogs). Eligible for unconditional graduation progression.</t>
        </is>
      </c>
    </row>
    <row r="64" ht="20" customHeight="1">
      <c r="B64" s="50" t="inlineStr">
        <is>
          <t>Lowest Aggregate Marks Obtained</t>
        </is>
      </c>
      <c r="F64" s="51">
        <f>MIN(X6:X55)</f>
        <v/>
      </c>
      <c r="L64" s="52" t="inlineStr">
        <is>
          <t>Result Category: PROMOTED (ATKT)</t>
        </is>
      </c>
      <c r="O64" s="53" t="inlineStr">
        <is>
          <t>Student has 1–3 backlogs. Provisionally promoted with backlog retake obligation.</t>
        </is>
      </c>
    </row>
  </sheetData>
  <mergeCells count="29">
    <mergeCell ref="A2:AB2"/>
    <mergeCell ref="L62:N62"/>
    <mergeCell ref="O4:Q4"/>
    <mergeCell ref="B64:E64"/>
    <mergeCell ref="L4:N4"/>
    <mergeCell ref="L64:N64"/>
    <mergeCell ref="B63:E63"/>
    <mergeCell ref="L63:N63"/>
    <mergeCell ref="L60:N60"/>
    <mergeCell ref="B62:E62"/>
    <mergeCell ref="B59:E59"/>
    <mergeCell ref="I4:K4"/>
    <mergeCell ref="O63:AB63"/>
    <mergeCell ref="A56:E56"/>
    <mergeCell ref="L59:N59"/>
    <mergeCell ref="U4:W4"/>
    <mergeCell ref="O59:AB59"/>
    <mergeCell ref="A1:AB1"/>
    <mergeCell ref="F4:H4"/>
    <mergeCell ref="L61:N61"/>
    <mergeCell ref="O62:AB62"/>
    <mergeCell ref="B60:E60"/>
    <mergeCell ref="X4:AB4"/>
    <mergeCell ref="B61:E61"/>
    <mergeCell ref="A4:E4"/>
    <mergeCell ref="O61:AB61"/>
    <mergeCell ref="O64:AB64"/>
    <mergeCell ref="O60:AB60"/>
    <mergeCell ref="R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22" customWidth="1" min="16" max="16"/>
    <col width="15" customWidth="1" min="17" max="17"/>
    <col width="18" customWidth="1" min="18" max="18"/>
    <col width="40" customWidth="1" min="19" max="19"/>
    <col width="22" customWidth="1" min="20" max="20"/>
  </cols>
  <sheetData>
    <row r="1" ht="28" customHeight="1">
      <c r="A1" s="54" t="inlineStr">
        <is>
          <t>SEMESTER-WISE PERFORMANCE &amp; BACKLOG DISTRIBUTION (SEM 1 TO SEM 6)</t>
        </is>
      </c>
    </row>
    <row r="2"/>
    <row r="3" ht="24" customHeight="1">
      <c r="A3" s="3" t="inlineStr">
        <is>
          <t>Roll No.</t>
        </is>
      </c>
      <c r="B3" s="55" t="inlineStr">
        <is>
          <t>Student Name</t>
        </is>
      </c>
      <c r="C3" s="55" t="inlineStr">
        <is>
          <t>Branch</t>
        </is>
      </c>
      <c r="D3" s="56" t="inlineStr">
        <is>
          <t>S1 Total (300)</t>
        </is>
      </c>
      <c r="E3" s="3" t="inlineStr">
        <is>
          <t>S1 Fails</t>
        </is>
      </c>
      <c r="F3" s="56" t="inlineStr">
        <is>
          <t>S2 Total (300)</t>
        </is>
      </c>
      <c r="G3" s="3" t="inlineStr">
        <is>
          <t>S2 Fails</t>
        </is>
      </c>
      <c r="H3" s="56" t="inlineStr">
        <is>
          <t>S3 Total (300)</t>
        </is>
      </c>
      <c r="I3" s="3" t="inlineStr">
        <is>
          <t>S3 Fails</t>
        </is>
      </c>
      <c r="J3" s="56" t="inlineStr">
        <is>
          <t>S4 Total (300)</t>
        </is>
      </c>
      <c r="K3" s="3" t="inlineStr">
        <is>
          <t>S4 Fails</t>
        </is>
      </c>
      <c r="L3" s="56" t="inlineStr">
        <is>
          <t>S5 Total (300)</t>
        </is>
      </c>
      <c r="M3" s="3" t="inlineStr">
        <is>
          <t>S5 Fails</t>
        </is>
      </c>
      <c r="N3" s="56" t="inlineStr">
        <is>
          <t>S6 Total (300)</t>
        </is>
      </c>
      <c r="O3" s="3" t="inlineStr">
        <is>
          <t>S6 Fails</t>
        </is>
      </c>
      <c r="P3" s="56" t="inlineStr">
        <is>
          <t>Grand Total (1800)</t>
        </is>
      </c>
      <c r="Q3" s="56" t="inlineStr">
        <is>
          <t>Overall Pct</t>
        </is>
      </c>
      <c r="R3" s="3" t="inlineStr">
        <is>
          <t>Total Backlogs</t>
        </is>
      </c>
      <c r="S3" s="3" t="inlineStr">
        <is>
          <t>ATKT Status</t>
        </is>
      </c>
      <c r="T3" s="3" t="inlineStr">
        <is>
          <t>Final Result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57" t="n">
        <v>235</v>
      </c>
      <c r="E4" s="58" t="n">
        <v>0</v>
      </c>
      <c r="F4" s="57" t="n">
        <v>249</v>
      </c>
      <c r="G4" s="58" t="n">
        <v>0</v>
      </c>
      <c r="H4" s="57" t="n">
        <v>244</v>
      </c>
      <c r="I4" s="58" t="n">
        <v>0</v>
      </c>
      <c r="J4" s="57" t="n">
        <v>257</v>
      </c>
      <c r="K4" s="58" t="n">
        <v>0</v>
      </c>
      <c r="L4" s="57" t="n">
        <v>257</v>
      </c>
      <c r="M4" s="58" t="n">
        <v>0</v>
      </c>
      <c r="N4" s="57" t="n">
        <v>242</v>
      </c>
      <c r="O4" s="58" t="n">
        <v>0</v>
      </c>
      <c r="P4" s="32" t="n">
        <v>1484</v>
      </c>
      <c r="Q4" s="32" t="inlineStr">
        <is>
          <t>82.44%</t>
        </is>
      </c>
      <c r="R4" s="34" t="n">
        <v>0</v>
      </c>
      <c r="S4" s="34" t="inlineStr">
        <is>
          <t>Not Applicable (Passed All)</t>
        </is>
      </c>
      <c r="T4" s="35" t="inlineStr">
        <is>
          <t>PASS</t>
        </is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59" t="n">
        <v>197</v>
      </c>
      <c r="E5" s="60" t="n">
        <v>0</v>
      </c>
      <c r="F5" s="59" t="n">
        <v>200</v>
      </c>
      <c r="G5" s="60" t="n">
        <v>0</v>
      </c>
      <c r="H5" s="59" t="n">
        <v>233</v>
      </c>
      <c r="I5" s="60" t="n">
        <v>0</v>
      </c>
      <c r="J5" s="59" t="n">
        <v>274</v>
      </c>
      <c r="K5" s="60" t="n">
        <v>0</v>
      </c>
      <c r="L5" s="59" t="n">
        <v>247</v>
      </c>
      <c r="M5" s="60" t="n">
        <v>0</v>
      </c>
      <c r="N5" s="59" t="n">
        <v>250</v>
      </c>
      <c r="O5" s="60" t="n">
        <v>0</v>
      </c>
      <c r="P5" s="39" t="n">
        <v>1401</v>
      </c>
      <c r="Q5" s="39" t="inlineStr">
        <is>
          <t>77.83%</t>
        </is>
      </c>
      <c r="R5" s="34" t="n">
        <v>0</v>
      </c>
      <c r="S5" s="34" t="inlineStr">
        <is>
          <t>Not Applicable (Passed All)</t>
        </is>
      </c>
      <c r="T5" s="35" t="inlineStr">
        <is>
          <t>PASS</t>
        </is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57" t="n">
        <v>141</v>
      </c>
      <c r="E6" s="41" t="n">
        <v>1</v>
      </c>
      <c r="F6" s="57" t="n">
        <v>163</v>
      </c>
      <c r="G6" s="58" t="n">
        <v>0</v>
      </c>
      <c r="H6" s="57" t="n">
        <v>148</v>
      </c>
      <c r="I6" s="58" t="n">
        <v>0</v>
      </c>
      <c r="J6" s="57" t="n">
        <v>140</v>
      </c>
      <c r="K6" s="58" t="n">
        <v>0</v>
      </c>
      <c r="L6" s="57" t="n">
        <v>155</v>
      </c>
      <c r="M6" s="58" t="n">
        <v>0</v>
      </c>
      <c r="N6" s="57" t="n">
        <v>161</v>
      </c>
      <c r="O6" s="58" t="n">
        <v>0</v>
      </c>
      <c r="P6" s="32" t="n">
        <v>908</v>
      </c>
      <c r="Q6" s="32" t="inlineStr">
        <is>
          <t>50.44%</t>
        </is>
      </c>
      <c r="R6" s="41" t="n">
        <v>1</v>
      </c>
      <c r="S6" s="42" t="inlineStr">
        <is>
          <t>YES - Eligible for ATKT (1 Backlog)</t>
        </is>
      </c>
      <c r="T6" s="42" t="inlineStr">
        <is>
          <t>PROMOTED WITH ATKT</t>
        </is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59" t="n">
        <v>270</v>
      </c>
      <c r="E7" s="60" t="n">
        <v>0</v>
      </c>
      <c r="F7" s="59" t="n">
        <v>271</v>
      </c>
      <c r="G7" s="60" t="n">
        <v>0</v>
      </c>
      <c r="H7" s="59" t="n">
        <v>262</v>
      </c>
      <c r="I7" s="60" t="n">
        <v>0</v>
      </c>
      <c r="J7" s="59" t="n">
        <v>277</v>
      </c>
      <c r="K7" s="60" t="n">
        <v>0</v>
      </c>
      <c r="L7" s="59" t="n">
        <v>266</v>
      </c>
      <c r="M7" s="60" t="n">
        <v>0</v>
      </c>
      <c r="N7" s="59" t="n">
        <v>240</v>
      </c>
      <c r="O7" s="60" t="n">
        <v>0</v>
      </c>
      <c r="P7" s="39" t="n">
        <v>1586</v>
      </c>
      <c r="Q7" s="39" t="inlineStr">
        <is>
          <t>88.11%</t>
        </is>
      </c>
      <c r="R7" s="34" t="n">
        <v>0</v>
      </c>
      <c r="S7" s="34" t="inlineStr">
        <is>
          <t>Not Applicable (Passed All)</t>
        </is>
      </c>
      <c r="T7" s="35" t="inlineStr">
        <is>
          <t>PASS</t>
        </is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57" t="n">
        <v>95</v>
      </c>
      <c r="E8" s="41" t="n">
        <v>2</v>
      </c>
      <c r="F8" s="57" t="n">
        <v>125</v>
      </c>
      <c r="G8" s="58" t="n">
        <v>0</v>
      </c>
      <c r="H8" s="57" t="n">
        <v>152</v>
      </c>
      <c r="I8" s="58" t="n">
        <v>0</v>
      </c>
      <c r="J8" s="57" t="n">
        <v>197</v>
      </c>
      <c r="K8" s="58" t="n">
        <v>0</v>
      </c>
      <c r="L8" s="57" t="n">
        <v>160</v>
      </c>
      <c r="M8" s="58" t="n">
        <v>0</v>
      </c>
      <c r="N8" s="57" t="n">
        <v>177</v>
      </c>
      <c r="O8" s="58" t="n">
        <v>0</v>
      </c>
      <c r="P8" s="32" t="n">
        <v>906</v>
      </c>
      <c r="Q8" s="32" t="inlineStr">
        <is>
          <t>50.33%</t>
        </is>
      </c>
      <c r="R8" s="41" t="n">
        <v>2</v>
      </c>
      <c r="S8" s="42" t="inlineStr">
        <is>
          <t>YES - Eligible for ATKT (2 Backlogs)</t>
        </is>
      </c>
      <c r="T8" s="42" t="inlineStr">
        <is>
          <t>PROMOTED WITH ATKT</t>
        </is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59" t="n">
        <v>65</v>
      </c>
      <c r="E9" s="41" t="n">
        <v>3</v>
      </c>
      <c r="F9" s="59" t="n">
        <v>98</v>
      </c>
      <c r="G9" s="41" t="n">
        <v>1</v>
      </c>
      <c r="H9" s="59" t="n">
        <v>132</v>
      </c>
      <c r="I9" s="60" t="n">
        <v>0</v>
      </c>
      <c r="J9" s="59" t="n">
        <v>116</v>
      </c>
      <c r="K9" s="60" t="n">
        <v>0</v>
      </c>
      <c r="L9" s="59" t="n">
        <v>130</v>
      </c>
      <c r="M9" s="60" t="n">
        <v>0</v>
      </c>
      <c r="N9" s="59" t="n">
        <v>136</v>
      </c>
      <c r="O9" s="60" t="n">
        <v>0</v>
      </c>
      <c r="P9" s="39" t="n">
        <v>677</v>
      </c>
      <c r="Q9" s="39" t="inlineStr">
        <is>
          <t>37.61%</t>
        </is>
      </c>
      <c r="R9" s="41" t="n">
        <v>4</v>
      </c>
      <c r="S9" s="41" t="inlineStr">
        <is>
          <t>NO - Ineligible (4 Backlogs &gt; Max 3)</t>
        </is>
      </c>
      <c r="T9" s="41" t="inlineStr">
        <is>
          <t>FAIL (YEAR DOWN)</t>
        </is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57" t="n">
        <v>189</v>
      </c>
      <c r="E10" s="58" t="n">
        <v>0</v>
      </c>
      <c r="F10" s="57" t="n">
        <v>183</v>
      </c>
      <c r="G10" s="58" t="n">
        <v>0</v>
      </c>
      <c r="H10" s="57" t="n">
        <v>244</v>
      </c>
      <c r="I10" s="58" t="n">
        <v>0</v>
      </c>
      <c r="J10" s="57" t="n">
        <v>257</v>
      </c>
      <c r="K10" s="58" t="n">
        <v>0</v>
      </c>
      <c r="L10" s="57" t="n">
        <v>226</v>
      </c>
      <c r="M10" s="58" t="n">
        <v>0</v>
      </c>
      <c r="N10" s="57" t="n">
        <v>278</v>
      </c>
      <c r="O10" s="58" t="n">
        <v>0</v>
      </c>
      <c r="P10" s="32" t="n">
        <v>1377</v>
      </c>
      <c r="Q10" s="32" t="inlineStr">
        <is>
          <t>76.50%</t>
        </is>
      </c>
      <c r="R10" s="34" t="n">
        <v>0</v>
      </c>
      <c r="S10" s="34" t="inlineStr">
        <is>
          <t>Not Applicable (Passed All)</t>
        </is>
      </c>
      <c r="T10" s="35" t="inlineStr">
        <is>
          <t>PASS</t>
        </is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59" t="n">
        <v>125</v>
      </c>
      <c r="E11" s="41" t="n">
        <v>1</v>
      </c>
      <c r="F11" s="59" t="n">
        <v>143</v>
      </c>
      <c r="G11" s="41" t="n">
        <v>1</v>
      </c>
      <c r="H11" s="59" t="n">
        <v>159</v>
      </c>
      <c r="I11" s="60" t="n">
        <v>0</v>
      </c>
      <c r="J11" s="59" t="n">
        <v>163</v>
      </c>
      <c r="K11" s="60" t="n">
        <v>0</v>
      </c>
      <c r="L11" s="59" t="n">
        <v>192</v>
      </c>
      <c r="M11" s="60" t="n">
        <v>0</v>
      </c>
      <c r="N11" s="59" t="n">
        <v>194</v>
      </c>
      <c r="O11" s="60" t="n">
        <v>0</v>
      </c>
      <c r="P11" s="39" t="n">
        <v>976</v>
      </c>
      <c r="Q11" s="39" t="inlineStr">
        <is>
          <t>54.22%</t>
        </is>
      </c>
      <c r="R11" s="41" t="n">
        <v>2</v>
      </c>
      <c r="S11" s="42" t="inlineStr">
        <is>
          <t>YES - Eligible for ATKT (2 Backlogs)</t>
        </is>
      </c>
      <c r="T11" s="42" t="inlineStr">
        <is>
          <t>PROMOTED WITH ATKT</t>
        </is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57" t="n">
        <v>53</v>
      </c>
      <c r="E12" s="41" t="n">
        <v>3</v>
      </c>
      <c r="F12" s="57" t="n">
        <v>82</v>
      </c>
      <c r="G12" s="41" t="n">
        <v>2</v>
      </c>
      <c r="H12" s="57" t="n">
        <v>98</v>
      </c>
      <c r="I12" s="58" t="n">
        <v>0</v>
      </c>
      <c r="J12" s="57" t="n">
        <v>136</v>
      </c>
      <c r="K12" s="58" t="n">
        <v>0</v>
      </c>
      <c r="L12" s="57" t="n">
        <v>124</v>
      </c>
      <c r="M12" s="58" t="n">
        <v>0</v>
      </c>
      <c r="N12" s="57" t="n">
        <v>133</v>
      </c>
      <c r="O12" s="58" t="n">
        <v>0</v>
      </c>
      <c r="P12" s="32" t="n">
        <v>626</v>
      </c>
      <c r="Q12" s="32" t="inlineStr">
        <is>
          <t>34.78%</t>
        </is>
      </c>
      <c r="R12" s="41" t="n">
        <v>5</v>
      </c>
      <c r="S12" s="41" t="inlineStr">
        <is>
          <t>NO - Ineligible (5 Backlogs &gt; Max 3)</t>
        </is>
      </c>
      <c r="T12" s="41" t="inlineStr">
        <is>
          <t>FAIL (YEAR DOWN)</t>
        </is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59" t="n">
        <v>220</v>
      </c>
      <c r="E13" s="60" t="n">
        <v>0</v>
      </c>
      <c r="F13" s="59" t="n">
        <v>227</v>
      </c>
      <c r="G13" s="60" t="n">
        <v>0</v>
      </c>
      <c r="H13" s="59" t="n">
        <v>257</v>
      </c>
      <c r="I13" s="60" t="n">
        <v>0</v>
      </c>
      <c r="J13" s="59" t="n">
        <v>276</v>
      </c>
      <c r="K13" s="60" t="n">
        <v>0</v>
      </c>
      <c r="L13" s="59" t="n">
        <v>266</v>
      </c>
      <c r="M13" s="60" t="n">
        <v>0</v>
      </c>
      <c r="N13" s="59" t="n">
        <v>243</v>
      </c>
      <c r="O13" s="60" t="n">
        <v>0</v>
      </c>
      <c r="P13" s="39" t="n">
        <v>1489</v>
      </c>
      <c r="Q13" s="39" t="inlineStr">
        <is>
          <t>82.72%</t>
        </is>
      </c>
      <c r="R13" s="34" t="n">
        <v>0</v>
      </c>
      <c r="S13" s="34" t="inlineStr">
        <is>
          <t>Not Applicable (Passed All)</t>
        </is>
      </c>
      <c r="T13" s="35" t="inlineStr">
        <is>
          <t>PASS</t>
        </is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57" t="n">
        <v>192</v>
      </c>
      <c r="E14" s="58" t="n">
        <v>0</v>
      </c>
      <c r="F14" s="57" t="n">
        <v>209</v>
      </c>
      <c r="G14" s="58" t="n">
        <v>0</v>
      </c>
      <c r="H14" s="57" t="n">
        <v>239</v>
      </c>
      <c r="I14" s="58" t="n">
        <v>0</v>
      </c>
      <c r="J14" s="57" t="n">
        <v>213</v>
      </c>
      <c r="K14" s="58" t="n">
        <v>0</v>
      </c>
      <c r="L14" s="57" t="n">
        <v>215</v>
      </c>
      <c r="M14" s="58" t="n">
        <v>0</v>
      </c>
      <c r="N14" s="57" t="n">
        <v>215</v>
      </c>
      <c r="O14" s="58" t="n">
        <v>0</v>
      </c>
      <c r="P14" s="32" t="n">
        <v>1283</v>
      </c>
      <c r="Q14" s="32" t="inlineStr">
        <is>
          <t>71.28%</t>
        </is>
      </c>
      <c r="R14" s="34" t="n">
        <v>0</v>
      </c>
      <c r="S14" s="34" t="inlineStr">
        <is>
          <t>Not Applicable (Passed All)</t>
        </is>
      </c>
      <c r="T14" s="35" t="inlineStr">
        <is>
          <t>PASS</t>
        </is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59" t="n">
        <v>265</v>
      </c>
      <c r="E15" s="60" t="n">
        <v>0</v>
      </c>
      <c r="F15" s="59" t="n">
        <v>251</v>
      </c>
      <c r="G15" s="60" t="n">
        <v>0</v>
      </c>
      <c r="H15" s="59" t="n">
        <v>249</v>
      </c>
      <c r="I15" s="60" t="n">
        <v>0</v>
      </c>
      <c r="J15" s="59" t="n">
        <v>256</v>
      </c>
      <c r="K15" s="60" t="n">
        <v>0</v>
      </c>
      <c r="L15" s="59" t="n">
        <v>245</v>
      </c>
      <c r="M15" s="60" t="n">
        <v>0</v>
      </c>
      <c r="N15" s="59" t="n">
        <v>235</v>
      </c>
      <c r="O15" s="60" t="n">
        <v>0</v>
      </c>
      <c r="P15" s="39" t="n">
        <v>1501</v>
      </c>
      <c r="Q15" s="39" t="inlineStr">
        <is>
          <t>83.39%</t>
        </is>
      </c>
      <c r="R15" s="34" t="n">
        <v>0</v>
      </c>
      <c r="S15" s="34" t="inlineStr">
        <is>
          <t>Not Applicable (Passed All)</t>
        </is>
      </c>
      <c r="T15" s="35" t="inlineStr">
        <is>
          <t>PASS</t>
        </is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57" t="n">
        <v>154</v>
      </c>
      <c r="E16" s="58" t="n">
        <v>0</v>
      </c>
      <c r="F16" s="57" t="n">
        <v>138</v>
      </c>
      <c r="G16" s="58" t="n">
        <v>0</v>
      </c>
      <c r="H16" s="57" t="n">
        <v>128</v>
      </c>
      <c r="I16" s="41" t="n">
        <v>1</v>
      </c>
      <c r="J16" s="57" t="n">
        <v>174</v>
      </c>
      <c r="K16" s="58" t="n">
        <v>0</v>
      </c>
      <c r="L16" s="57" t="n">
        <v>163</v>
      </c>
      <c r="M16" s="58" t="n">
        <v>0</v>
      </c>
      <c r="N16" s="57" t="n">
        <v>180</v>
      </c>
      <c r="O16" s="58" t="n">
        <v>0</v>
      </c>
      <c r="P16" s="32" t="n">
        <v>937</v>
      </c>
      <c r="Q16" s="32" t="inlineStr">
        <is>
          <t>52.06%</t>
        </is>
      </c>
      <c r="R16" s="41" t="n">
        <v>1</v>
      </c>
      <c r="S16" s="42" t="inlineStr">
        <is>
          <t>YES - Eligible for ATKT (1 Backlog)</t>
        </is>
      </c>
      <c r="T16" s="42" t="inlineStr">
        <is>
          <t>PROMOTED WITH ATKT</t>
        </is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59" t="n">
        <v>216</v>
      </c>
      <c r="E17" s="60" t="n">
        <v>0</v>
      </c>
      <c r="F17" s="59" t="n">
        <v>227</v>
      </c>
      <c r="G17" s="60" t="n">
        <v>0</v>
      </c>
      <c r="H17" s="59" t="n">
        <v>217</v>
      </c>
      <c r="I17" s="60" t="n">
        <v>0</v>
      </c>
      <c r="J17" s="59" t="n">
        <v>234</v>
      </c>
      <c r="K17" s="60" t="n">
        <v>0</v>
      </c>
      <c r="L17" s="59" t="n">
        <v>202</v>
      </c>
      <c r="M17" s="60" t="n">
        <v>0</v>
      </c>
      <c r="N17" s="59" t="n">
        <v>218</v>
      </c>
      <c r="O17" s="60" t="n">
        <v>0</v>
      </c>
      <c r="P17" s="39" t="n">
        <v>1314</v>
      </c>
      <c r="Q17" s="39" t="inlineStr">
        <is>
          <t>73.00%</t>
        </is>
      </c>
      <c r="R17" s="34" t="n">
        <v>0</v>
      </c>
      <c r="S17" s="34" t="inlineStr">
        <is>
          <t>Not Applicable (Passed All)</t>
        </is>
      </c>
      <c r="T17" s="35" t="inlineStr">
        <is>
          <t>PASS</t>
        </is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57" t="n">
        <v>263</v>
      </c>
      <c r="E18" s="58" t="n">
        <v>0</v>
      </c>
      <c r="F18" s="57" t="n">
        <v>243</v>
      </c>
      <c r="G18" s="58" t="n">
        <v>0</v>
      </c>
      <c r="H18" s="57" t="n">
        <v>226</v>
      </c>
      <c r="I18" s="58" t="n">
        <v>0</v>
      </c>
      <c r="J18" s="57" t="n">
        <v>238</v>
      </c>
      <c r="K18" s="58" t="n">
        <v>0</v>
      </c>
      <c r="L18" s="57" t="n">
        <v>252</v>
      </c>
      <c r="M18" s="58" t="n">
        <v>0</v>
      </c>
      <c r="N18" s="57" t="n">
        <v>219</v>
      </c>
      <c r="O18" s="58" t="n">
        <v>0</v>
      </c>
      <c r="P18" s="32" t="n">
        <v>1441</v>
      </c>
      <c r="Q18" s="32" t="inlineStr">
        <is>
          <t>80.06%</t>
        </is>
      </c>
      <c r="R18" s="34" t="n">
        <v>0</v>
      </c>
      <c r="S18" s="34" t="inlineStr">
        <is>
          <t>Not Applicable (Passed All)</t>
        </is>
      </c>
      <c r="T18" s="35" t="inlineStr">
        <is>
          <t>PASS</t>
        </is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59" t="n">
        <v>132</v>
      </c>
      <c r="E19" s="41" t="n">
        <v>1</v>
      </c>
      <c r="F19" s="59" t="n">
        <v>132</v>
      </c>
      <c r="G19" s="60" t="n">
        <v>0</v>
      </c>
      <c r="H19" s="59" t="n">
        <v>125</v>
      </c>
      <c r="I19" s="41" t="n">
        <v>1</v>
      </c>
      <c r="J19" s="59" t="n">
        <v>152</v>
      </c>
      <c r="K19" s="41" t="n">
        <v>1</v>
      </c>
      <c r="L19" s="59" t="n">
        <v>160</v>
      </c>
      <c r="M19" s="60" t="n">
        <v>0</v>
      </c>
      <c r="N19" s="59" t="n">
        <v>207</v>
      </c>
      <c r="O19" s="60" t="n">
        <v>0</v>
      </c>
      <c r="P19" s="39" t="n">
        <v>908</v>
      </c>
      <c r="Q19" s="39" t="inlineStr">
        <is>
          <t>50.44%</t>
        </is>
      </c>
      <c r="R19" s="41" t="n">
        <v>3</v>
      </c>
      <c r="S19" s="42" t="inlineStr">
        <is>
          <t>YES - Eligible for ATKT (3 Backlogs)</t>
        </is>
      </c>
      <c r="T19" s="42" t="inlineStr">
        <is>
          <t>PROMOTED WITH ATKT</t>
        </is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57" t="n">
        <v>212</v>
      </c>
      <c r="E20" s="58" t="n">
        <v>0</v>
      </c>
      <c r="F20" s="57" t="n">
        <v>209</v>
      </c>
      <c r="G20" s="58" t="n">
        <v>0</v>
      </c>
      <c r="H20" s="57" t="n">
        <v>192</v>
      </c>
      <c r="I20" s="58" t="n">
        <v>0</v>
      </c>
      <c r="J20" s="57" t="n">
        <v>202</v>
      </c>
      <c r="K20" s="58" t="n">
        <v>0</v>
      </c>
      <c r="L20" s="57" t="n">
        <v>219</v>
      </c>
      <c r="M20" s="58" t="n">
        <v>0</v>
      </c>
      <c r="N20" s="57" t="n">
        <v>210</v>
      </c>
      <c r="O20" s="58" t="n">
        <v>0</v>
      </c>
      <c r="P20" s="32" t="n">
        <v>1244</v>
      </c>
      <c r="Q20" s="32" t="inlineStr">
        <is>
          <t>69.11%</t>
        </is>
      </c>
      <c r="R20" s="34" t="n">
        <v>0</v>
      </c>
      <c r="S20" s="34" t="inlineStr">
        <is>
          <t>Not Applicable (Passed All)</t>
        </is>
      </c>
      <c r="T20" s="35" t="inlineStr">
        <is>
          <t>PASS</t>
        </is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59" t="n">
        <v>139</v>
      </c>
      <c r="E21" s="60" t="n">
        <v>0</v>
      </c>
      <c r="F21" s="59" t="n">
        <v>147</v>
      </c>
      <c r="G21" s="60" t="n">
        <v>0</v>
      </c>
      <c r="H21" s="59" t="n">
        <v>163</v>
      </c>
      <c r="I21" s="60" t="n">
        <v>0</v>
      </c>
      <c r="J21" s="59" t="n">
        <v>168</v>
      </c>
      <c r="K21" s="60" t="n">
        <v>0</v>
      </c>
      <c r="L21" s="59" t="n">
        <v>162</v>
      </c>
      <c r="M21" s="60" t="n">
        <v>0</v>
      </c>
      <c r="N21" s="59" t="n">
        <v>152</v>
      </c>
      <c r="O21" s="60" t="n">
        <v>0</v>
      </c>
      <c r="P21" s="39" t="n">
        <v>931</v>
      </c>
      <c r="Q21" s="39" t="inlineStr">
        <is>
          <t>51.72%</t>
        </is>
      </c>
      <c r="R21" s="34" t="n">
        <v>0</v>
      </c>
      <c r="S21" s="34" t="inlineStr">
        <is>
          <t>Not Applicable (Passed All)</t>
        </is>
      </c>
      <c r="T21" s="35" t="inlineStr">
        <is>
          <t>PASS</t>
        </is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57" t="n">
        <v>289</v>
      </c>
      <c r="E22" s="58" t="n">
        <v>0</v>
      </c>
      <c r="F22" s="57" t="n">
        <v>231</v>
      </c>
      <c r="G22" s="58" t="n">
        <v>0</v>
      </c>
      <c r="H22" s="57" t="n">
        <v>273</v>
      </c>
      <c r="I22" s="58" t="n">
        <v>0</v>
      </c>
      <c r="J22" s="57" t="n">
        <v>236</v>
      </c>
      <c r="K22" s="58" t="n">
        <v>0</v>
      </c>
      <c r="L22" s="57" t="n">
        <v>249</v>
      </c>
      <c r="M22" s="58" t="n">
        <v>0</v>
      </c>
      <c r="N22" s="57" t="n">
        <v>253</v>
      </c>
      <c r="O22" s="58" t="n">
        <v>0</v>
      </c>
      <c r="P22" s="32" t="n">
        <v>1531</v>
      </c>
      <c r="Q22" s="32" t="inlineStr">
        <is>
          <t>85.06%</t>
        </is>
      </c>
      <c r="R22" s="34" t="n">
        <v>0</v>
      </c>
      <c r="S22" s="34" t="inlineStr">
        <is>
          <t>Not Applicable (Passed All)</t>
        </is>
      </c>
      <c r="T22" s="35" t="inlineStr">
        <is>
          <t>PASS</t>
        </is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59" t="n">
        <v>109</v>
      </c>
      <c r="E23" s="60" t="n">
        <v>0</v>
      </c>
      <c r="F23" s="59" t="n">
        <v>107</v>
      </c>
      <c r="G23" s="60" t="n">
        <v>0</v>
      </c>
      <c r="H23" s="59" t="n">
        <v>66</v>
      </c>
      <c r="I23" s="41" t="n">
        <v>3</v>
      </c>
      <c r="J23" s="59" t="n">
        <v>109</v>
      </c>
      <c r="K23" s="41" t="n">
        <v>1</v>
      </c>
      <c r="L23" s="59" t="n">
        <v>142</v>
      </c>
      <c r="M23" s="60" t="n">
        <v>0</v>
      </c>
      <c r="N23" s="59" t="n">
        <v>148</v>
      </c>
      <c r="O23" s="60" t="n">
        <v>0</v>
      </c>
      <c r="P23" s="39" t="n">
        <v>681</v>
      </c>
      <c r="Q23" s="39" t="inlineStr">
        <is>
          <t>37.83%</t>
        </is>
      </c>
      <c r="R23" s="41" t="n">
        <v>4</v>
      </c>
      <c r="S23" s="41" t="inlineStr">
        <is>
          <t>NO - Ineligible (4 Backlogs &gt; Max 3)</t>
        </is>
      </c>
      <c r="T23" s="41" t="inlineStr">
        <is>
          <t>FAIL (YEAR DOWN)</t>
        </is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57" t="n">
        <v>184</v>
      </c>
      <c r="E24" s="58" t="n">
        <v>0</v>
      </c>
      <c r="F24" s="57" t="n">
        <v>202</v>
      </c>
      <c r="G24" s="58" t="n">
        <v>0</v>
      </c>
      <c r="H24" s="57" t="n">
        <v>223</v>
      </c>
      <c r="I24" s="58" t="n">
        <v>0</v>
      </c>
      <c r="J24" s="57" t="n">
        <v>199</v>
      </c>
      <c r="K24" s="58" t="n">
        <v>0</v>
      </c>
      <c r="L24" s="57" t="n">
        <v>185</v>
      </c>
      <c r="M24" s="58" t="n">
        <v>0</v>
      </c>
      <c r="N24" s="57" t="n">
        <v>225</v>
      </c>
      <c r="O24" s="58" t="n">
        <v>0</v>
      </c>
      <c r="P24" s="32" t="n">
        <v>1218</v>
      </c>
      <c r="Q24" s="32" t="inlineStr">
        <is>
          <t>67.67%</t>
        </is>
      </c>
      <c r="R24" s="34" t="n">
        <v>0</v>
      </c>
      <c r="S24" s="34" t="inlineStr">
        <is>
          <t>Not Applicable (Passed All)</t>
        </is>
      </c>
      <c r="T24" s="35" t="inlineStr">
        <is>
          <t>PASS</t>
        </is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59" t="n">
        <v>151</v>
      </c>
      <c r="E25" s="60" t="n">
        <v>0</v>
      </c>
      <c r="F25" s="59" t="n">
        <v>153</v>
      </c>
      <c r="G25" s="60" t="n">
        <v>0</v>
      </c>
      <c r="H25" s="59" t="n">
        <v>129</v>
      </c>
      <c r="I25" s="41" t="n">
        <v>1</v>
      </c>
      <c r="J25" s="59" t="n">
        <v>188</v>
      </c>
      <c r="K25" s="60" t="n">
        <v>0</v>
      </c>
      <c r="L25" s="59" t="n">
        <v>163</v>
      </c>
      <c r="M25" s="60" t="n">
        <v>0</v>
      </c>
      <c r="N25" s="59" t="n">
        <v>182</v>
      </c>
      <c r="O25" s="60" t="n">
        <v>0</v>
      </c>
      <c r="P25" s="39" t="n">
        <v>966</v>
      </c>
      <c r="Q25" s="39" t="inlineStr">
        <is>
          <t>53.67%</t>
        </is>
      </c>
      <c r="R25" s="41" t="n">
        <v>1</v>
      </c>
      <c r="S25" s="42" t="inlineStr">
        <is>
          <t>YES - Eligible for ATKT (1 Backlog)</t>
        </is>
      </c>
      <c r="T25" s="42" t="inlineStr">
        <is>
          <t>PROMOTED WITH ATKT</t>
        </is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57" t="n">
        <v>244</v>
      </c>
      <c r="E26" s="58" t="n">
        <v>0</v>
      </c>
      <c r="F26" s="57" t="n">
        <v>267</v>
      </c>
      <c r="G26" s="58" t="n">
        <v>0</v>
      </c>
      <c r="H26" s="57" t="n">
        <v>244</v>
      </c>
      <c r="I26" s="58" t="n">
        <v>0</v>
      </c>
      <c r="J26" s="57" t="n">
        <v>259</v>
      </c>
      <c r="K26" s="58" t="n">
        <v>0</v>
      </c>
      <c r="L26" s="57" t="n">
        <v>235</v>
      </c>
      <c r="M26" s="58" t="n">
        <v>0</v>
      </c>
      <c r="N26" s="57" t="n">
        <v>247</v>
      </c>
      <c r="O26" s="58" t="n">
        <v>0</v>
      </c>
      <c r="P26" s="32" t="n">
        <v>1496</v>
      </c>
      <c r="Q26" s="32" t="inlineStr">
        <is>
          <t>83.11%</t>
        </is>
      </c>
      <c r="R26" s="34" t="n">
        <v>0</v>
      </c>
      <c r="S26" s="34" t="inlineStr">
        <is>
          <t>Not Applicable (Passed All)</t>
        </is>
      </c>
      <c r="T26" s="35" t="inlineStr">
        <is>
          <t>PASS</t>
        </is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59" t="n">
        <v>173</v>
      </c>
      <c r="E27" s="60" t="n">
        <v>0</v>
      </c>
      <c r="F27" s="59" t="n">
        <v>138</v>
      </c>
      <c r="G27" s="60" t="n">
        <v>0</v>
      </c>
      <c r="H27" s="59" t="n">
        <v>151</v>
      </c>
      <c r="I27" s="60" t="n">
        <v>0</v>
      </c>
      <c r="J27" s="59" t="n">
        <v>184</v>
      </c>
      <c r="K27" s="60" t="n">
        <v>0</v>
      </c>
      <c r="L27" s="59" t="n">
        <v>151</v>
      </c>
      <c r="M27" s="60" t="n">
        <v>0</v>
      </c>
      <c r="N27" s="59" t="n">
        <v>147</v>
      </c>
      <c r="O27" s="60" t="n">
        <v>0</v>
      </c>
      <c r="P27" s="39" t="n">
        <v>944</v>
      </c>
      <c r="Q27" s="39" t="inlineStr">
        <is>
          <t>52.44%</t>
        </is>
      </c>
      <c r="R27" s="34" t="n">
        <v>0</v>
      </c>
      <c r="S27" s="34" t="inlineStr">
        <is>
          <t>Not Applicable (Passed All)</t>
        </is>
      </c>
      <c r="T27" s="35" t="inlineStr">
        <is>
          <t>PASS</t>
        </is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57" t="n">
        <v>193</v>
      </c>
      <c r="E28" s="58" t="n">
        <v>0</v>
      </c>
      <c r="F28" s="57" t="n">
        <v>230</v>
      </c>
      <c r="G28" s="58" t="n">
        <v>0</v>
      </c>
      <c r="H28" s="57" t="n">
        <v>218</v>
      </c>
      <c r="I28" s="58" t="n">
        <v>0</v>
      </c>
      <c r="J28" s="57" t="n">
        <v>201</v>
      </c>
      <c r="K28" s="58" t="n">
        <v>0</v>
      </c>
      <c r="L28" s="57" t="n">
        <v>229</v>
      </c>
      <c r="M28" s="58" t="n">
        <v>0</v>
      </c>
      <c r="N28" s="57" t="n">
        <v>224</v>
      </c>
      <c r="O28" s="58" t="n">
        <v>0</v>
      </c>
      <c r="P28" s="32" t="n">
        <v>1295</v>
      </c>
      <c r="Q28" s="32" t="inlineStr">
        <is>
          <t>71.94%</t>
        </is>
      </c>
      <c r="R28" s="34" t="n">
        <v>0</v>
      </c>
      <c r="S28" s="34" t="inlineStr">
        <is>
          <t>Not Applicable (Passed All)</t>
        </is>
      </c>
      <c r="T28" s="35" t="inlineStr">
        <is>
          <t>PASS</t>
        </is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59" t="n">
        <v>135</v>
      </c>
      <c r="E29" s="60" t="n">
        <v>0</v>
      </c>
      <c r="F29" s="59" t="n">
        <v>153</v>
      </c>
      <c r="G29" s="60" t="n">
        <v>0</v>
      </c>
      <c r="H29" s="59" t="n">
        <v>149</v>
      </c>
      <c r="I29" s="60" t="n">
        <v>0</v>
      </c>
      <c r="J29" s="59" t="n">
        <v>152</v>
      </c>
      <c r="K29" s="60" t="n">
        <v>0</v>
      </c>
      <c r="L29" s="59" t="n">
        <v>184</v>
      </c>
      <c r="M29" s="60" t="n">
        <v>0</v>
      </c>
      <c r="N29" s="59" t="n">
        <v>129</v>
      </c>
      <c r="O29" s="60" t="n">
        <v>0</v>
      </c>
      <c r="P29" s="39" t="n">
        <v>902</v>
      </c>
      <c r="Q29" s="39" t="inlineStr">
        <is>
          <t>50.11%</t>
        </is>
      </c>
      <c r="R29" s="34" t="n">
        <v>0</v>
      </c>
      <c r="S29" s="34" t="inlineStr">
        <is>
          <t>Not Applicable (Passed All)</t>
        </is>
      </c>
      <c r="T29" s="35" t="inlineStr">
        <is>
          <t>PASS</t>
        </is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57" t="n">
        <v>269</v>
      </c>
      <c r="E30" s="58" t="n">
        <v>0</v>
      </c>
      <c r="F30" s="57" t="n">
        <v>219</v>
      </c>
      <c r="G30" s="58" t="n">
        <v>0</v>
      </c>
      <c r="H30" s="57" t="n">
        <v>248</v>
      </c>
      <c r="I30" s="58" t="n">
        <v>0</v>
      </c>
      <c r="J30" s="57" t="n">
        <v>243</v>
      </c>
      <c r="K30" s="58" t="n">
        <v>0</v>
      </c>
      <c r="L30" s="57" t="n">
        <v>264</v>
      </c>
      <c r="M30" s="58" t="n">
        <v>0</v>
      </c>
      <c r="N30" s="57" t="n">
        <v>262</v>
      </c>
      <c r="O30" s="58" t="n">
        <v>0</v>
      </c>
      <c r="P30" s="32" t="n">
        <v>1505</v>
      </c>
      <c r="Q30" s="32" t="inlineStr">
        <is>
          <t>83.61%</t>
        </is>
      </c>
      <c r="R30" s="34" t="n">
        <v>0</v>
      </c>
      <c r="S30" s="34" t="inlineStr">
        <is>
          <t>Not Applicable (Passed All)</t>
        </is>
      </c>
      <c r="T30" s="35" t="inlineStr">
        <is>
          <t>PASS</t>
        </is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59" t="n">
        <v>116</v>
      </c>
      <c r="E31" s="60" t="n">
        <v>0</v>
      </c>
      <c r="F31" s="59" t="n">
        <v>150</v>
      </c>
      <c r="G31" s="60" t="n">
        <v>0</v>
      </c>
      <c r="H31" s="59" t="n">
        <v>200</v>
      </c>
      <c r="I31" s="60" t="n">
        <v>0</v>
      </c>
      <c r="J31" s="59" t="n">
        <v>83</v>
      </c>
      <c r="K31" s="41" t="n">
        <v>2</v>
      </c>
      <c r="L31" s="59" t="n">
        <v>149</v>
      </c>
      <c r="M31" s="60" t="n">
        <v>0</v>
      </c>
      <c r="N31" s="59" t="n">
        <v>142</v>
      </c>
      <c r="O31" s="60" t="n">
        <v>0</v>
      </c>
      <c r="P31" s="39" t="n">
        <v>840</v>
      </c>
      <c r="Q31" s="39" t="inlineStr">
        <is>
          <t>46.67%</t>
        </is>
      </c>
      <c r="R31" s="41" t="n">
        <v>2</v>
      </c>
      <c r="S31" s="42" t="inlineStr">
        <is>
          <t>YES - Eligible for ATKT (2 Backlogs)</t>
        </is>
      </c>
      <c r="T31" s="42" t="inlineStr">
        <is>
          <t>PROMOTED WITH ATKT</t>
        </is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57" t="n">
        <v>214</v>
      </c>
      <c r="E32" s="58" t="n">
        <v>0</v>
      </c>
      <c r="F32" s="57" t="n">
        <v>203</v>
      </c>
      <c r="G32" s="58" t="n">
        <v>0</v>
      </c>
      <c r="H32" s="57" t="n">
        <v>237</v>
      </c>
      <c r="I32" s="58" t="n">
        <v>0</v>
      </c>
      <c r="J32" s="57" t="n">
        <v>220</v>
      </c>
      <c r="K32" s="58" t="n">
        <v>0</v>
      </c>
      <c r="L32" s="57" t="n">
        <v>227</v>
      </c>
      <c r="M32" s="58" t="n">
        <v>0</v>
      </c>
      <c r="N32" s="57" t="n">
        <v>204</v>
      </c>
      <c r="O32" s="58" t="n">
        <v>0</v>
      </c>
      <c r="P32" s="32" t="n">
        <v>1305</v>
      </c>
      <c r="Q32" s="32" t="inlineStr">
        <is>
          <t>72.50%</t>
        </is>
      </c>
      <c r="R32" s="34" t="n">
        <v>0</v>
      </c>
      <c r="S32" s="34" t="inlineStr">
        <is>
          <t>Not Applicable (Passed All)</t>
        </is>
      </c>
      <c r="T32" s="35" t="inlineStr">
        <is>
          <t>PASS</t>
        </is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59" t="n">
        <v>92</v>
      </c>
      <c r="E33" s="41" t="n">
        <v>1</v>
      </c>
      <c r="F33" s="59" t="n">
        <v>101</v>
      </c>
      <c r="G33" s="41" t="n">
        <v>1</v>
      </c>
      <c r="H33" s="59" t="n">
        <v>121</v>
      </c>
      <c r="I33" s="41" t="n">
        <v>1</v>
      </c>
      <c r="J33" s="59" t="n">
        <v>91</v>
      </c>
      <c r="K33" s="41" t="n">
        <v>1</v>
      </c>
      <c r="L33" s="59" t="n">
        <v>105</v>
      </c>
      <c r="M33" s="41" t="n">
        <v>1</v>
      </c>
      <c r="N33" s="59" t="n">
        <v>93</v>
      </c>
      <c r="O33" s="41" t="n">
        <v>1</v>
      </c>
      <c r="P33" s="39" t="n">
        <v>603</v>
      </c>
      <c r="Q33" s="39" t="inlineStr">
        <is>
          <t>33.50%</t>
        </is>
      </c>
      <c r="R33" s="41" t="n">
        <v>6</v>
      </c>
      <c r="S33" s="41" t="inlineStr">
        <is>
          <t>NO - Ineligible (6 Backlogs &gt; Max 3)</t>
        </is>
      </c>
      <c r="T33" s="41" t="inlineStr">
        <is>
          <t>FAIL (YEAR DOWN)</t>
        </is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57" t="n">
        <v>168</v>
      </c>
      <c r="E34" s="58" t="n">
        <v>0</v>
      </c>
      <c r="F34" s="57" t="n">
        <v>152</v>
      </c>
      <c r="G34" s="58" t="n">
        <v>0</v>
      </c>
      <c r="H34" s="57" t="n">
        <v>143</v>
      </c>
      <c r="I34" s="58" t="n">
        <v>0</v>
      </c>
      <c r="J34" s="57" t="n">
        <v>147</v>
      </c>
      <c r="K34" s="58" t="n">
        <v>0</v>
      </c>
      <c r="L34" s="57" t="n">
        <v>176</v>
      </c>
      <c r="M34" s="58" t="n">
        <v>0</v>
      </c>
      <c r="N34" s="57" t="n">
        <v>185</v>
      </c>
      <c r="O34" s="58" t="n">
        <v>0</v>
      </c>
      <c r="P34" s="32" t="n">
        <v>971</v>
      </c>
      <c r="Q34" s="32" t="inlineStr">
        <is>
          <t>53.94%</t>
        </is>
      </c>
      <c r="R34" s="34" t="n">
        <v>0</v>
      </c>
      <c r="S34" s="34" t="inlineStr">
        <is>
          <t>Not Applicable (Passed All)</t>
        </is>
      </c>
      <c r="T34" s="35" t="inlineStr">
        <is>
          <t>PASS</t>
        </is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59" t="n">
        <v>241</v>
      </c>
      <c r="E35" s="60" t="n">
        <v>0</v>
      </c>
      <c r="F35" s="59" t="n">
        <v>241</v>
      </c>
      <c r="G35" s="60" t="n">
        <v>0</v>
      </c>
      <c r="H35" s="59" t="n">
        <v>222</v>
      </c>
      <c r="I35" s="60" t="n">
        <v>0</v>
      </c>
      <c r="J35" s="59" t="n">
        <v>253</v>
      </c>
      <c r="K35" s="60" t="n">
        <v>0</v>
      </c>
      <c r="L35" s="59" t="n">
        <v>268</v>
      </c>
      <c r="M35" s="60" t="n">
        <v>0</v>
      </c>
      <c r="N35" s="59" t="n">
        <v>258</v>
      </c>
      <c r="O35" s="60" t="n">
        <v>0</v>
      </c>
      <c r="P35" s="39" t="n">
        <v>1483</v>
      </c>
      <c r="Q35" s="39" t="inlineStr">
        <is>
          <t>82.39%</t>
        </is>
      </c>
      <c r="R35" s="34" t="n">
        <v>0</v>
      </c>
      <c r="S35" s="34" t="inlineStr">
        <is>
          <t>Not Applicable (Passed All)</t>
        </is>
      </c>
      <c r="T35" s="35" t="inlineStr">
        <is>
          <t>PASS</t>
        </is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57" t="n">
        <v>172</v>
      </c>
      <c r="E36" s="58" t="n">
        <v>0</v>
      </c>
      <c r="F36" s="57" t="n">
        <v>135</v>
      </c>
      <c r="G36" s="58" t="n">
        <v>0</v>
      </c>
      <c r="H36" s="57" t="n">
        <v>165</v>
      </c>
      <c r="I36" s="58" t="n">
        <v>0</v>
      </c>
      <c r="J36" s="57" t="n">
        <v>224</v>
      </c>
      <c r="K36" s="58" t="n">
        <v>0</v>
      </c>
      <c r="L36" s="57" t="n">
        <v>139</v>
      </c>
      <c r="M36" s="41" t="n">
        <v>1</v>
      </c>
      <c r="N36" s="57" t="n">
        <v>172</v>
      </c>
      <c r="O36" s="58" t="n">
        <v>0</v>
      </c>
      <c r="P36" s="32" t="n">
        <v>1007</v>
      </c>
      <c r="Q36" s="32" t="inlineStr">
        <is>
          <t>55.94%</t>
        </is>
      </c>
      <c r="R36" s="41" t="n">
        <v>1</v>
      </c>
      <c r="S36" s="42" t="inlineStr">
        <is>
          <t>YES - Eligible for ATKT (1 Backlog)</t>
        </is>
      </c>
      <c r="T36" s="42" t="inlineStr">
        <is>
          <t>PROMOTED WITH ATKT</t>
        </is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59" t="n">
        <v>151</v>
      </c>
      <c r="E37" s="60" t="n">
        <v>0</v>
      </c>
      <c r="F37" s="59" t="n">
        <v>182</v>
      </c>
      <c r="G37" s="60" t="n">
        <v>0</v>
      </c>
      <c r="H37" s="59" t="n">
        <v>168</v>
      </c>
      <c r="I37" s="60" t="n">
        <v>0</v>
      </c>
      <c r="J37" s="59" t="n">
        <v>160</v>
      </c>
      <c r="K37" s="60" t="n">
        <v>0</v>
      </c>
      <c r="L37" s="59" t="n">
        <v>166</v>
      </c>
      <c r="M37" s="60" t="n">
        <v>0</v>
      </c>
      <c r="N37" s="59" t="n">
        <v>185</v>
      </c>
      <c r="O37" s="60" t="n">
        <v>0</v>
      </c>
      <c r="P37" s="39" t="n">
        <v>1012</v>
      </c>
      <c r="Q37" s="39" t="inlineStr">
        <is>
          <t>56.22%</t>
        </is>
      </c>
      <c r="R37" s="34" t="n">
        <v>0</v>
      </c>
      <c r="S37" s="34" t="inlineStr">
        <is>
          <t>Not Applicable (Passed All)</t>
        </is>
      </c>
      <c r="T37" s="35" t="inlineStr">
        <is>
          <t>PASS</t>
        </is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57" t="n">
        <v>208</v>
      </c>
      <c r="E38" s="58" t="n">
        <v>0</v>
      </c>
      <c r="F38" s="57" t="n">
        <v>189</v>
      </c>
      <c r="G38" s="58" t="n">
        <v>0</v>
      </c>
      <c r="H38" s="57" t="n">
        <v>221</v>
      </c>
      <c r="I38" s="58" t="n">
        <v>0</v>
      </c>
      <c r="J38" s="57" t="n">
        <v>214</v>
      </c>
      <c r="K38" s="58" t="n">
        <v>0</v>
      </c>
      <c r="L38" s="57" t="n">
        <v>207</v>
      </c>
      <c r="M38" s="58" t="n">
        <v>0</v>
      </c>
      <c r="N38" s="57" t="n">
        <v>208</v>
      </c>
      <c r="O38" s="58" t="n">
        <v>0</v>
      </c>
      <c r="P38" s="32" t="n">
        <v>1247</v>
      </c>
      <c r="Q38" s="32" t="inlineStr">
        <is>
          <t>69.28%</t>
        </is>
      </c>
      <c r="R38" s="34" t="n">
        <v>0</v>
      </c>
      <c r="S38" s="34" t="inlineStr">
        <is>
          <t>Not Applicable (Passed All)</t>
        </is>
      </c>
      <c r="T38" s="35" t="inlineStr">
        <is>
          <t>PASS</t>
        </is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59" t="n">
        <v>150</v>
      </c>
      <c r="E39" s="60" t="n">
        <v>0</v>
      </c>
      <c r="F39" s="59" t="n">
        <v>176</v>
      </c>
      <c r="G39" s="60" t="n">
        <v>0</v>
      </c>
      <c r="H39" s="59" t="n">
        <v>144</v>
      </c>
      <c r="I39" s="60" t="n">
        <v>0</v>
      </c>
      <c r="J39" s="59" t="n">
        <v>140</v>
      </c>
      <c r="K39" s="60" t="n">
        <v>0</v>
      </c>
      <c r="L39" s="59" t="n">
        <v>123</v>
      </c>
      <c r="M39" s="60" t="n">
        <v>0</v>
      </c>
      <c r="N39" s="59" t="n">
        <v>168</v>
      </c>
      <c r="O39" s="60" t="n">
        <v>0</v>
      </c>
      <c r="P39" s="39" t="n">
        <v>901</v>
      </c>
      <c r="Q39" s="39" t="inlineStr">
        <is>
          <t>50.06%</t>
        </is>
      </c>
      <c r="R39" s="34" t="n">
        <v>0</v>
      </c>
      <c r="S39" s="34" t="inlineStr">
        <is>
          <t>Not Applicable (Passed All)</t>
        </is>
      </c>
      <c r="T39" s="35" t="inlineStr">
        <is>
          <t>PASS</t>
        </is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57" t="n">
        <v>271</v>
      </c>
      <c r="E40" s="58" t="n">
        <v>0</v>
      </c>
      <c r="F40" s="57" t="n">
        <v>256</v>
      </c>
      <c r="G40" s="58" t="n">
        <v>0</v>
      </c>
      <c r="H40" s="57" t="n">
        <v>259</v>
      </c>
      <c r="I40" s="58" t="n">
        <v>0</v>
      </c>
      <c r="J40" s="57" t="n">
        <v>233</v>
      </c>
      <c r="K40" s="58" t="n">
        <v>0</v>
      </c>
      <c r="L40" s="57" t="n">
        <v>252</v>
      </c>
      <c r="M40" s="58" t="n">
        <v>0</v>
      </c>
      <c r="N40" s="57" t="n">
        <v>289</v>
      </c>
      <c r="O40" s="58" t="n">
        <v>0</v>
      </c>
      <c r="P40" s="32" t="n">
        <v>1560</v>
      </c>
      <c r="Q40" s="32" t="inlineStr">
        <is>
          <t>86.67%</t>
        </is>
      </c>
      <c r="R40" s="34" t="n">
        <v>0</v>
      </c>
      <c r="S40" s="34" t="inlineStr">
        <is>
          <t>Not Applicable (Passed All)</t>
        </is>
      </c>
      <c r="T40" s="35" t="inlineStr">
        <is>
          <t>PASS</t>
        </is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59" t="n">
        <v>131</v>
      </c>
      <c r="E41" s="41" t="n">
        <v>1</v>
      </c>
      <c r="F41" s="59" t="n">
        <v>163</v>
      </c>
      <c r="G41" s="60" t="n">
        <v>0</v>
      </c>
      <c r="H41" s="59" t="n">
        <v>172</v>
      </c>
      <c r="I41" s="60" t="n">
        <v>0</v>
      </c>
      <c r="J41" s="59" t="n">
        <v>156</v>
      </c>
      <c r="K41" s="60" t="n">
        <v>0</v>
      </c>
      <c r="L41" s="59" t="n">
        <v>133</v>
      </c>
      <c r="M41" s="41" t="n">
        <v>1</v>
      </c>
      <c r="N41" s="59" t="n">
        <v>167</v>
      </c>
      <c r="O41" s="41" t="n">
        <v>1</v>
      </c>
      <c r="P41" s="39" t="n">
        <v>922</v>
      </c>
      <c r="Q41" s="39" t="inlineStr">
        <is>
          <t>51.22%</t>
        </is>
      </c>
      <c r="R41" s="41" t="n">
        <v>3</v>
      </c>
      <c r="S41" s="42" t="inlineStr">
        <is>
          <t>YES - Eligible for ATKT (3 Backlogs)</t>
        </is>
      </c>
      <c r="T41" s="42" t="inlineStr">
        <is>
          <t>PROMOTED WITH ATKT</t>
        </is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57" t="n">
        <v>229</v>
      </c>
      <c r="E42" s="58" t="n">
        <v>0</v>
      </c>
      <c r="F42" s="57" t="n">
        <v>226</v>
      </c>
      <c r="G42" s="58" t="n">
        <v>0</v>
      </c>
      <c r="H42" s="57" t="n">
        <v>242</v>
      </c>
      <c r="I42" s="58" t="n">
        <v>0</v>
      </c>
      <c r="J42" s="57" t="n">
        <v>220</v>
      </c>
      <c r="K42" s="58" t="n">
        <v>0</v>
      </c>
      <c r="L42" s="57" t="n">
        <v>225</v>
      </c>
      <c r="M42" s="58" t="n">
        <v>0</v>
      </c>
      <c r="N42" s="57" t="n">
        <v>221</v>
      </c>
      <c r="O42" s="58" t="n">
        <v>0</v>
      </c>
      <c r="P42" s="32" t="n">
        <v>1363</v>
      </c>
      <c r="Q42" s="32" t="inlineStr">
        <is>
          <t>75.72%</t>
        </is>
      </c>
      <c r="R42" s="34" t="n">
        <v>0</v>
      </c>
      <c r="S42" s="34" t="inlineStr">
        <is>
          <t>Not Applicable (Passed All)</t>
        </is>
      </c>
      <c r="T42" s="35" t="inlineStr">
        <is>
          <t>PASS</t>
        </is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59" t="n">
        <v>179</v>
      </c>
      <c r="E43" s="60" t="n">
        <v>0</v>
      </c>
      <c r="F43" s="59" t="n">
        <v>170</v>
      </c>
      <c r="G43" s="60" t="n">
        <v>0</v>
      </c>
      <c r="H43" s="59" t="n">
        <v>168</v>
      </c>
      <c r="I43" s="60" t="n">
        <v>0</v>
      </c>
      <c r="J43" s="59" t="n">
        <v>155</v>
      </c>
      <c r="K43" s="60" t="n">
        <v>0</v>
      </c>
      <c r="L43" s="59" t="n">
        <v>158</v>
      </c>
      <c r="M43" s="60" t="n">
        <v>0</v>
      </c>
      <c r="N43" s="59" t="n">
        <v>164</v>
      </c>
      <c r="O43" s="60" t="n">
        <v>0</v>
      </c>
      <c r="P43" s="39" t="n">
        <v>994</v>
      </c>
      <c r="Q43" s="39" t="inlineStr">
        <is>
          <t>55.22%</t>
        </is>
      </c>
      <c r="R43" s="34" t="n">
        <v>0</v>
      </c>
      <c r="S43" s="34" t="inlineStr">
        <is>
          <t>Not Applicable (Passed All)</t>
        </is>
      </c>
      <c r="T43" s="35" t="inlineStr">
        <is>
          <t>PASS</t>
        </is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57" t="n">
        <v>225</v>
      </c>
      <c r="E44" s="58" t="n">
        <v>0</v>
      </c>
      <c r="F44" s="57" t="n">
        <v>248</v>
      </c>
      <c r="G44" s="58" t="n">
        <v>0</v>
      </c>
      <c r="H44" s="57" t="n">
        <v>240</v>
      </c>
      <c r="I44" s="58" t="n">
        <v>0</v>
      </c>
      <c r="J44" s="57" t="n">
        <v>246</v>
      </c>
      <c r="K44" s="58" t="n">
        <v>0</v>
      </c>
      <c r="L44" s="57" t="n">
        <v>254</v>
      </c>
      <c r="M44" s="58" t="n">
        <v>0</v>
      </c>
      <c r="N44" s="57" t="n">
        <v>243</v>
      </c>
      <c r="O44" s="58" t="n">
        <v>0</v>
      </c>
      <c r="P44" s="32" t="n">
        <v>1456</v>
      </c>
      <c r="Q44" s="32" t="inlineStr">
        <is>
          <t>80.89%</t>
        </is>
      </c>
      <c r="R44" s="34" t="n">
        <v>0</v>
      </c>
      <c r="S44" s="34" t="inlineStr">
        <is>
          <t>Not Applicable (Passed All)</t>
        </is>
      </c>
      <c r="T44" s="35" t="inlineStr">
        <is>
          <t>PASS</t>
        </is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59" t="n">
        <v>111</v>
      </c>
      <c r="E45" s="41" t="n">
        <v>1</v>
      </c>
      <c r="F45" s="59" t="n">
        <v>114</v>
      </c>
      <c r="G45" s="41" t="n">
        <v>1</v>
      </c>
      <c r="H45" s="59" t="n">
        <v>93</v>
      </c>
      <c r="I45" s="41" t="n">
        <v>1</v>
      </c>
      <c r="J45" s="59" t="n">
        <v>101</v>
      </c>
      <c r="K45" s="41" t="n">
        <v>1</v>
      </c>
      <c r="L45" s="59" t="n">
        <v>112</v>
      </c>
      <c r="M45" s="41" t="n">
        <v>1</v>
      </c>
      <c r="N45" s="59" t="n">
        <v>131</v>
      </c>
      <c r="O45" s="60" t="n">
        <v>0</v>
      </c>
      <c r="P45" s="39" t="n">
        <v>662</v>
      </c>
      <c r="Q45" s="39" t="inlineStr">
        <is>
          <t>36.78%</t>
        </is>
      </c>
      <c r="R45" s="41" t="n">
        <v>5</v>
      </c>
      <c r="S45" s="41" t="inlineStr">
        <is>
          <t>NO - Ineligible (5 Backlogs &gt; Max 3)</t>
        </is>
      </c>
      <c r="T45" s="41" t="inlineStr">
        <is>
          <t>FAIL (YEAR DOWN)</t>
        </is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57" t="n">
        <v>193</v>
      </c>
      <c r="E46" s="58" t="n">
        <v>0</v>
      </c>
      <c r="F46" s="57" t="n">
        <v>192</v>
      </c>
      <c r="G46" s="58" t="n">
        <v>0</v>
      </c>
      <c r="H46" s="57" t="n">
        <v>217</v>
      </c>
      <c r="I46" s="58" t="n">
        <v>0</v>
      </c>
      <c r="J46" s="57" t="n">
        <v>225</v>
      </c>
      <c r="K46" s="58" t="n">
        <v>0</v>
      </c>
      <c r="L46" s="57" t="n">
        <v>210</v>
      </c>
      <c r="M46" s="58" t="n">
        <v>0</v>
      </c>
      <c r="N46" s="57" t="n">
        <v>217</v>
      </c>
      <c r="O46" s="58" t="n">
        <v>0</v>
      </c>
      <c r="P46" s="32" t="n">
        <v>1254</v>
      </c>
      <c r="Q46" s="32" t="inlineStr">
        <is>
          <t>69.67%</t>
        </is>
      </c>
      <c r="R46" s="34" t="n">
        <v>0</v>
      </c>
      <c r="S46" s="34" t="inlineStr">
        <is>
          <t>Not Applicable (Passed All)</t>
        </is>
      </c>
      <c r="T46" s="35" t="inlineStr">
        <is>
          <t>PASS</t>
        </is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59" t="n">
        <v>165</v>
      </c>
      <c r="E47" s="60" t="n">
        <v>0</v>
      </c>
      <c r="F47" s="59" t="n">
        <v>173</v>
      </c>
      <c r="G47" s="41" t="n">
        <v>1</v>
      </c>
      <c r="H47" s="59" t="n">
        <v>152</v>
      </c>
      <c r="I47" s="60" t="n">
        <v>0</v>
      </c>
      <c r="J47" s="59" t="n">
        <v>169</v>
      </c>
      <c r="K47" s="60" t="n">
        <v>0</v>
      </c>
      <c r="L47" s="59" t="n">
        <v>135</v>
      </c>
      <c r="M47" s="60" t="n">
        <v>0</v>
      </c>
      <c r="N47" s="59" t="n">
        <v>128</v>
      </c>
      <c r="O47" s="41" t="n">
        <v>1</v>
      </c>
      <c r="P47" s="39" t="n">
        <v>922</v>
      </c>
      <c r="Q47" s="39" t="inlineStr">
        <is>
          <t>51.22%</t>
        </is>
      </c>
      <c r="R47" s="41" t="n">
        <v>2</v>
      </c>
      <c r="S47" s="42" t="inlineStr">
        <is>
          <t>YES - Eligible for ATKT (2 Backlogs)</t>
        </is>
      </c>
      <c r="T47" s="42" t="inlineStr">
        <is>
          <t>PROMOTED WITH ATKT</t>
        </is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57" t="n">
        <v>244</v>
      </c>
      <c r="E48" s="58" t="n">
        <v>0</v>
      </c>
      <c r="F48" s="57" t="n">
        <v>274</v>
      </c>
      <c r="G48" s="58" t="n">
        <v>0</v>
      </c>
      <c r="H48" s="57" t="n">
        <v>268</v>
      </c>
      <c r="I48" s="58" t="n">
        <v>0</v>
      </c>
      <c r="J48" s="57" t="n">
        <v>257</v>
      </c>
      <c r="K48" s="58" t="n">
        <v>0</v>
      </c>
      <c r="L48" s="57" t="n">
        <v>227</v>
      </c>
      <c r="M48" s="58" t="n">
        <v>0</v>
      </c>
      <c r="N48" s="57" t="n">
        <v>251</v>
      </c>
      <c r="O48" s="58" t="n">
        <v>0</v>
      </c>
      <c r="P48" s="32" t="n">
        <v>1521</v>
      </c>
      <c r="Q48" s="32" t="inlineStr">
        <is>
          <t>84.50%</t>
        </is>
      </c>
      <c r="R48" s="34" t="n">
        <v>0</v>
      </c>
      <c r="S48" s="34" t="inlineStr">
        <is>
          <t>Not Applicable (Passed All)</t>
        </is>
      </c>
      <c r="T48" s="35" t="inlineStr">
        <is>
          <t>PASS</t>
        </is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59" t="n">
        <v>145</v>
      </c>
      <c r="E49" s="60" t="n">
        <v>0</v>
      </c>
      <c r="F49" s="59" t="n">
        <v>123</v>
      </c>
      <c r="G49" s="60" t="n">
        <v>0</v>
      </c>
      <c r="H49" s="59" t="n">
        <v>127</v>
      </c>
      <c r="I49" s="60" t="n">
        <v>0</v>
      </c>
      <c r="J49" s="59" t="n">
        <v>158</v>
      </c>
      <c r="K49" s="60" t="n">
        <v>0</v>
      </c>
      <c r="L49" s="59" t="n">
        <v>161</v>
      </c>
      <c r="M49" s="60" t="n">
        <v>0</v>
      </c>
      <c r="N49" s="59" t="n">
        <v>173</v>
      </c>
      <c r="O49" s="60" t="n">
        <v>0</v>
      </c>
      <c r="P49" s="39" t="n">
        <v>887</v>
      </c>
      <c r="Q49" s="39" t="inlineStr">
        <is>
          <t>49.28%</t>
        </is>
      </c>
      <c r="R49" s="34" t="n">
        <v>0</v>
      </c>
      <c r="S49" s="34" t="inlineStr">
        <is>
          <t>Not Applicable (Passed All)</t>
        </is>
      </c>
      <c r="T49" s="35" t="inlineStr">
        <is>
          <t>PASS</t>
        </is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57" t="n">
        <v>208</v>
      </c>
      <c r="E50" s="58" t="n">
        <v>0</v>
      </c>
      <c r="F50" s="57" t="n">
        <v>240</v>
      </c>
      <c r="G50" s="58" t="n">
        <v>0</v>
      </c>
      <c r="H50" s="57" t="n">
        <v>218</v>
      </c>
      <c r="I50" s="58" t="n">
        <v>0</v>
      </c>
      <c r="J50" s="57" t="n">
        <v>209</v>
      </c>
      <c r="K50" s="58" t="n">
        <v>0</v>
      </c>
      <c r="L50" s="57" t="n">
        <v>186</v>
      </c>
      <c r="M50" s="58" t="n">
        <v>0</v>
      </c>
      <c r="N50" s="57" t="n">
        <v>221</v>
      </c>
      <c r="O50" s="58" t="n">
        <v>0</v>
      </c>
      <c r="P50" s="32" t="n">
        <v>1282</v>
      </c>
      <c r="Q50" s="32" t="inlineStr">
        <is>
          <t>71.22%</t>
        </is>
      </c>
      <c r="R50" s="34" t="n">
        <v>0</v>
      </c>
      <c r="S50" s="34" t="inlineStr">
        <is>
          <t>Not Applicable (Passed All)</t>
        </is>
      </c>
      <c r="T50" s="35" t="inlineStr">
        <is>
          <t>PASS</t>
        </is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59" t="n">
        <v>166</v>
      </c>
      <c r="E51" s="60" t="n">
        <v>0</v>
      </c>
      <c r="F51" s="59" t="n">
        <v>161</v>
      </c>
      <c r="G51" s="60" t="n">
        <v>0</v>
      </c>
      <c r="H51" s="59" t="n">
        <v>137</v>
      </c>
      <c r="I51" s="60" t="n">
        <v>0</v>
      </c>
      <c r="J51" s="59" t="n">
        <v>165</v>
      </c>
      <c r="K51" s="60" t="n">
        <v>0</v>
      </c>
      <c r="L51" s="59" t="n">
        <v>189</v>
      </c>
      <c r="M51" s="60" t="n">
        <v>0</v>
      </c>
      <c r="N51" s="59" t="n">
        <v>162</v>
      </c>
      <c r="O51" s="60" t="n">
        <v>0</v>
      </c>
      <c r="P51" s="39" t="n">
        <v>980</v>
      </c>
      <c r="Q51" s="39" t="inlineStr">
        <is>
          <t>54.44%</t>
        </is>
      </c>
      <c r="R51" s="34" t="n">
        <v>0</v>
      </c>
      <c r="S51" s="34" t="inlineStr">
        <is>
          <t>Not Applicable (Passed All)</t>
        </is>
      </c>
      <c r="T51" s="35" t="inlineStr">
        <is>
          <t>PASS</t>
        </is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57" t="n">
        <v>162</v>
      </c>
      <c r="E52" s="58" t="n">
        <v>0</v>
      </c>
      <c r="F52" s="57" t="n">
        <v>161</v>
      </c>
      <c r="G52" s="58" t="n">
        <v>0</v>
      </c>
      <c r="H52" s="57" t="n">
        <v>183</v>
      </c>
      <c r="I52" s="58" t="n">
        <v>0</v>
      </c>
      <c r="J52" s="57" t="n">
        <v>176</v>
      </c>
      <c r="K52" s="58" t="n">
        <v>0</v>
      </c>
      <c r="L52" s="57" t="n">
        <v>202</v>
      </c>
      <c r="M52" s="58" t="n">
        <v>0</v>
      </c>
      <c r="N52" s="57" t="n">
        <v>157</v>
      </c>
      <c r="O52" s="41" t="n">
        <v>1</v>
      </c>
      <c r="P52" s="32" t="n">
        <v>1041</v>
      </c>
      <c r="Q52" s="32" t="inlineStr">
        <is>
          <t>57.83%</t>
        </is>
      </c>
      <c r="R52" s="41" t="n">
        <v>1</v>
      </c>
      <c r="S52" s="42" t="inlineStr">
        <is>
          <t>YES - Eligible for ATKT (1 Backlog)</t>
        </is>
      </c>
      <c r="T52" s="42" t="inlineStr">
        <is>
          <t>PROMOTED WITH ATKT</t>
        </is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59" t="n">
        <v>86</v>
      </c>
      <c r="E53" s="41" t="n">
        <v>2</v>
      </c>
      <c r="F53" s="59" t="n">
        <v>104</v>
      </c>
      <c r="G53" s="41" t="n">
        <v>1</v>
      </c>
      <c r="H53" s="59" t="n">
        <v>77</v>
      </c>
      <c r="I53" s="41" t="n">
        <v>2</v>
      </c>
      <c r="J53" s="59" t="n">
        <v>105</v>
      </c>
      <c r="K53" s="41" t="n">
        <v>1</v>
      </c>
      <c r="L53" s="59" t="n">
        <v>123</v>
      </c>
      <c r="M53" s="41" t="n">
        <v>1</v>
      </c>
      <c r="N53" s="59" t="n">
        <v>112</v>
      </c>
      <c r="O53" s="60" t="n">
        <v>0</v>
      </c>
      <c r="P53" s="39" t="n">
        <v>607</v>
      </c>
      <c r="Q53" s="39" t="inlineStr">
        <is>
          <t>33.72%</t>
        </is>
      </c>
      <c r="R53" s="41" t="n">
        <v>7</v>
      </c>
      <c r="S53" s="41" t="inlineStr">
        <is>
          <t>NO - Ineligible (7 Backlogs &gt; Max 3)</t>
        </is>
      </c>
      <c r="T53" s="41" t="inlineStr">
        <is>
          <t>FAIL (YEAR DOWN)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17" customWidth="1" min="14" max="14"/>
  </cols>
  <sheetData>
    <row r="1" ht="28" customHeight="1">
      <c r="A1" s="61" t="inlineStr">
        <is>
          <t>SEMESTER 1 TO 3 DETAILED SUBJECT SCORES (OS, JS, DSA, DBMS, CN, OOP, DAA, SE, TOC)</t>
        </is>
      </c>
    </row>
    <row r="2"/>
    <row r="3" ht="24" customHeight="1">
      <c r="A3" s="5" t="inlineStr">
        <is>
          <t>Roll No.</t>
        </is>
      </c>
      <c r="B3" s="5" t="inlineStr">
        <is>
          <t>Student Name</t>
        </is>
      </c>
      <c r="C3" s="5" t="inlineStr">
        <is>
          <t>Branch</t>
        </is>
      </c>
      <c r="D3" s="5" t="inlineStr">
        <is>
          <t>S1-OS</t>
        </is>
      </c>
      <c r="E3" s="5" t="inlineStr">
        <is>
          <t>S1-JS</t>
        </is>
      </c>
      <c r="F3" s="5" t="inlineStr">
        <is>
          <t>S1-DSA</t>
        </is>
      </c>
      <c r="G3" s="5" t="inlineStr">
        <is>
          <t>S2-DBMS</t>
        </is>
      </c>
      <c r="H3" s="5" t="inlineStr">
        <is>
          <t>S2-CN</t>
        </is>
      </c>
      <c r="I3" s="5" t="inlineStr">
        <is>
          <t>S2-OOP</t>
        </is>
      </c>
      <c r="J3" s="5" t="inlineStr">
        <is>
          <t>S3-DAA</t>
        </is>
      </c>
      <c r="K3" s="5" t="inlineStr">
        <is>
          <t>S3-SE</t>
        </is>
      </c>
      <c r="L3" s="5" t="inlineStr">
        <is>
          <t>S3-TOC</t>
        </is>
      </c>
      <c r="M3" s="5" t="inlineStr">
        <is>
          <t>S1-3 Total (900)</t>
        </is>
      </c>
      <c r="N3" s="5" t="inlineStr">
        <is>
          <t>S1-3 Backlogs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31" t="n">
        <v>78</v>
      </c>
      <c r="E4" s="31" t="n">
        <v>85</v>
      </c>
      <c r="F4" s="31" t="n">
        <v>72</v>
      </c>
      <c r="G4" s="31" t="n">
        <v>82</v>
      </c>
      <c r="H4" s="31" t="n">
        <v>88</v>
      </c>
      <c r="I4" s="31" t="n">
        <v>79</v>
      </c>
      <c r="J4" s="31" t="n">
        <v>77</v>
      </c>
      <c r="K4" s="31" t="n">
        <v>74</v>
      </c>
      <c r="L4" s="31" t="n">
        <v>93</v>
      </c>
      <c r="M4" s="32" t="n">
        <v>728</v>
      </c>
      <c r="N4" s="58" t="n">
        <v>0</v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38" t="n">
        <v>65</v>
      </c>
      <c r="E5" s="38" t="n">
        <v>74</v>
      </c>
      <c r="F5" s="38" t="n">
        <v>58</v>
      </c>
      <c r="G5" s="38" t="n">
        <v>70</v>
      </c>
      <c r="H5" s="38" t="n">
        <v>68</v>
      </c>
      <c r="I5" s="38" t="n">
        <v>62</v>
      </c>
      <c r="J5" s="38" t="n">
        <v>70</v>
      </c>
      <c r="K5" s="38" t="n">
        <v>87</v>
      </c>
      <c r="L5" s="38" t="n">
        <v>76</v>
      </c>
      <c r="M5" s="39" t="n">
        <v>630</v>
      </c>
      <c r="N5" s="60" t="n">
        <v>0</v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41" t="n">
        <v>24</v>
      </c>
      <c r="E6" s="31" t="n">
        <v>62</v>
      </c>
      <c r="F6" s="31" t="n">
        <v>55</v>
      </c>
      <c r="G6" s="31" t="n">
        <v>45</v>
      </c>
      <c r="H6" s="31" t="n">
        <v>58</v>
      </c>
      <c r="I6" s="31" t="n">
        <v>60</v>
      </c>
      <c r="J6" s="31" t="n">
        <v>44</v>
      </c>
      <c r="K6" s="31" t="n">
        <v>48</v>
      </c>
      <c r="L6" s="31" t="n">
        <v>56</v>
      </c>
      <c r="M6" s="32" t="n">
        <v>452</v>
      </c>
      <c r="N6" s="41" t="n">
        <v>1</v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38" t="n">
        <v>88</v>
      </c>
      <c r="E7" s="38" t="n">
        <v>92</v>
      </c>
      <c r="F7" s="38" t="n">
        <v>90</v>
      </c>
      <c r="G7" s="38" t="n">
        <v>85</v>
      </c>
      <c r="H7" s="38" t="n">
        <v>95</v>
      </c>
      <c r="I7" s="38" t="n">
        <v>91</v>
      </c>
      <c r="J7" s="38" t="n">
        <v>87</v>
      </c>
      <c r="K7" s="38" t="n">
        <v>79</v>
      </c>
      <c r="L7" s="38" t="n">
        <v>96</v>
      </c>
      <c r="M7" s="39" t="n">
        <v>803</v>
      </c>
      <c r="N7" s="60" t="n">
        <v>0</v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41" t="n">
        <v>22</v>
      </c>
      <c r="E8" s="41" t="n">
        <v>28</v>
      </c>
      <c r="F8" s="31" t="n">
        <v>45</v>
      </c>
      <c r="G8" s="31" t="n">
        <v>35</v>
      </c>
      <c r="H8" s="31" t="n">
        <v>40</v>
      </c>
      <c r="I8" s="31" t="n">
        <v>50</v>
      </c>
      <c r="J8" s="31" t="n">
        <v>41</v>
      </c>
      <c r="K8" s="31" t="n">
        <v>59</v>
      </c>
      <c r="L8" s="31" t="n">
        <v>52</v>
      </c>
      <c r="M8" s="32" t="n">
        <v>372</v>
      </c>
      <c r="N8" s="41" t="n">
        <v>2</v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41" t="n">
        <v>18</v>
      </c>
      <c r="E9" s="41" t="n">
        <v>25</v>
      </c>
      <c r="F9" s="41" t="n">
        <v>22</v>
      </c>
      <c r="G9" s="41" t="n">
        <v>26</v>
      </c>
      <c r="H9" s="38" t="n">
        <v>32</v>
      </c>
      <c r="I9" s="38" t="n">
        <v>40</v>
      </c>
      <c r="J9" s="38" t="n">
        <v>50</v>
      </c>
      <c r="K9" s="38" t="n">
        <v>35</v>
      </c>
      <c r="L9" s="38" t="n">
        <v>47</v>
      </c>
      <c r="M9" s="39" t="n">
        <v>295</v>
      </c>
      <c r="N9" s="41" t="n">
        <v>4</v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31" t="n">
        <v>55</v>
      </c>
      <c r="E10" s="31" t="n">
        <v>64</v>
      </c>
      <c r="F10" s="31" t="n">
        <v>70</v>
      </c>
      <c r="G10" s="31" t="n">
        <v>60</v>
      </c>
      <c r="H10" s="31" t="n">
        <v>58</v>
      </c>
      <c r="I10" s="31" t="n">
        <v>65</v>
      </c>
      <c r="J10" s="31" t="n">
        <v>77</v>
      </c>
      <c r="K10" s="31" t="n">
        <v>96</v>
      </c>
      <c r="L10" s="31" t="n">
        <v>71</v>
      </c>
      <c r="M10" s="32" t="n">
        <v>616</v>
      </c>
      <c r="N10" s="58" t="n">
        <v>0</v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38" t="n">
        <v>52</v>
      </c>
      <c r="E11" s="38" t="n">
        <v>48</v>
      </c>
      <c r="F11" s="41" t="n">
        <v>25</v>
      </c>
      <c r="G11" s="38" t="n">
        <v>55</v>
      </c>
      <c r="H11" s="38" t="n">
        <v>60</v>
      </c>
      <c r="I11" s="41" t="n">
        <v>28</v>
      </c>
      <c r="J11" s="38" t="n">
        <v>64</v>
      </c>
      <c r="K11" s="38" t="n">
        <v>44</v>
      </c>
      <c r="L11" s="38" t="n">
        <v>51</v>
      </c>
      <c r="M11" s="39" t="n">
        <v>427</v>
      </c>
      <c r="N11" s="41" t="n">
        <v>2</v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41" t="n">
        <v>15</v>
      </c>
      <c r="E12" s="41" t="n">
        <v>20</v>
      </c>
      <c r="F12" s="41" t="n">
        <v>18</v>
      </c>
      <c r="G12" s="41" t="n">
        <v>22</v>
      </c>
      <c r="H12" s="41" t="n">
        <v>25</v>
      </c>
      <c r="I12" s="31" t="n">
        <v>35</v>
      </c>
      <c r="J12" s="31" t="n">
        <v>31</v>
      </c>
      <c r="K12" s="31" t="n">
        <v>33</v>
      </c>
      <c r="L12" s="31" t="n">
        <v>34</v>
      </c>
      <c r="M12" s="32" t="n">
        <v>233</v>
      </c>
      <c r="N12" s="41" t="n">
        <v>5</v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38" t="n">
        <v>72</v>
      </c>
      <c r="E13" s="38" t="n">
        <v>80</v>
      </c>
      <c r="F13" s="38" t="n">
        <v>68</v>
      </c>
      <c r="G13" s="38" t="n">
        <v>75</v>
      </c>
      <c r="H13" s="38" t="n">
        <v>82</v>
      </c>
      <c r="I13" s="38" t="n">
        <v>70</v>
      </c>
      <c r="J13" s="38" t="n">
        <v>91</v>
      </c>
      <c r="K13" s="38" t="n">
        <v>93</v>
      </c>
      <c r="L13" s="38" t="n">
        <v>73</v>
      </c>
      <c r="M13" s="39" t="n">
        <v>704</v>
      </c>
      <c r="N13" s="60" t="n">
        <v>0</v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31" t="n">
        <v>64</v>
      </c>
      <c r="E14" s="31" t="n">
        <v>68</v>
      </c>
      <c r="F14" s="31" t="n">
        <v>60</v>
      </c>
      <c r="G14" s="31" t="n">
        <v>69</v>
      </c>
      <c r="H14" s="31" t="n">
        <v>55</v>
      </c>
      <c r="I14" s="31" t="n">
        <v>85</v>
      </c>
      <c r="J14" s="31" t="n">
        <v>78</v>
      </c>
      <c r="K14" s="31" t="n">
        <v>83</v>
      </c>
      <c r="L14" s="31" t="n">
        <v>78</v>
      </c>
      <c r="M14" s="32" t="n">
        <v>640</v>
      </c>
      <c r="N14" s="58" t="n">
        <v>0</v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38" t="n">
        <v>79</v>
      </c>
      <c r="E15" s="38" t="n">
        <v>96</v>
      </c>
      <c r="F15" s="38" t="n">
        <v>90</v>
      </c>
      <c r="G15" s="38" t="n">
        <v>86</v>
      </c>
      <c r="H15" s="38" t="n">
        <v>89</v>
      </c>
      <c r="I15" s="38" t="n">
        <v>76</v>
      </c>
      <c r="J15" s="38" t="n">
        <v>74</v>
      </c>
      <c r="K15" s="38" t="n">
        <v>81</v>
      </c>
      <c r="L15" s="38" t="n">
        <v>94</v>
      </c>
      <c r="M15" s="39" t="n">
        <v>765</v>
      </c>
      <c r="N15" s="60" t="n">
        <v>0</v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31" t="n">
        <v>42</v>
      </c>
      <c r="E16" s="31" t="n">
        <v>58</v>
      </c>
      <c r="F16" s="31" t="n">
        <v>54</v>
      </c>
      <c r="G16" s="31" t="n">
        <v>50</v>
      </c>
      <c r="H16" s="31" t="n">
        <v>38</v>
      </c>
      <c r="I16" s="31" t="n">
        <v>50</v>
      </c>
      <c r="J16" s="31" t="n">
        <v>71</v>
      </c>
      <c r="K16" s="41" t="n">
        <v>17</v>
      </c>
      <c r="L16" s="31" t="n">
        <v>40</v>
      </c>
      <c r="M16" s="32" t="n">
        <v>420</v>
      </c>
      <c r="N16" s="41" t="n">
        <v>1</v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38" t="n">
        <v>63</v>
      </c>
      <c r="E17" s="38" t="n">
        <v>71</v>
      </c>
      <c r="F17" s="38" t="n">
        <v>82</v>
      </c>
      <c r="G17" s="38" t="n">
        <v>74</v>
      </c>
      <c r="H17" s="38" t="n">
        <v>68</v>
      </c>
      <c r="I17" s="38" t="n">
        <v>85</v>
      </c>
      <c r="J17" s="38" t="n">
        <v>61</v>
      </c>
      <c r="K17" s="38" t="n">
        <v>84</v>
      </c>
      <c r="L17" s="38" t="n">
        <v>72</v>
      </c>
      <c r="M17" s="39" t="n">
        <v>660</v>
      </c>
      <c r="N17" s="60" t="n">
        <v>0</v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31" t="n">
        <v>81</v>
      </c>
      <c r="E18" s="31" t="n">
        <v>84</v>
      </c>
      <c r="F18" s="31" t="n">
        <v>98</v>
      </c>
      <c r="G18" s="31" t="n">
        <v>86</v>
      </c>
      <c r="H18" s="31" t="n">
        <v>84</v>
      </c>
      <c r="I18" s="31" t="n">
        <v>73</v>
      </c>
      <c r="J18" s="31" t="n">
        <v>77</v>
      </c>
      <c r="K18" s="31" t="n">
        <v>77</v>
      </c>
      <c r="L18" s="31" t="n">
        <v>72</v>
      </c>
      <c r="M18" s="32" t="n">
        <v>732</v>
      </c>
      <c r="N18" s="58" t="n">
        <v>0</v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38" t="n">
        <v>75</v>
      </c>
      <c r="E19" s="38" t="n">
        <v>38</v>
      </c>
      <c r="F19" s="41" t="n">
        <v>19</v>
      </c>
      <c r="G19" s="38" t="n">
        <v>39</v>
      </c>
      <c r="H19" s="38" t="n">
        <v>37</v>
      </c>
      <c r="I19" s="38" t="n">
        <v>56</v>
      </c>
      <c r="J19" s="38" t="n">
        <v>39</v>
      </c>
      <c r="K19" s="38" t="n">
        <v>67</v>
      </c>
      <c r="L19" s="41" t="n">
        <v>19</v>
      </c>
      <c r="M19" s="39" t="n">
        <v>389</v>
      </c>
      <c r="N19" s="41" t="n">
        <v>2</v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31" t="n">
        <v>62</v>
      </c>
      <c r="E20" s="31" t="n">
        <v>80</v>
      </c>
      <c r="F20" s="31" t="n">
        <v>70</v>
      </c>
      <c r="G20" s="31" t="n">
        <v>80</v>
      </c>
      <c r="H20" s="31" t="n">
        <v>68</v>
      </c>
      <c r="I20" s="31" t="n">
        <v>61</v>
      </c>
      <c r="J20" s="31" t="n">
        <v>58</v>
      </c>
      <c r="K20" s="31" t="n">
        <v>58</v>
      </c>
      <c r="L20" s="31" t="n">
        <v>76</v>
      </c>
      <c r="M20" s="32" t="n">
        <v>613</v>
      </c>
      <c r="N20" s="58" t="n">
        <v>0</v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38" t="n">
        <v>41</v>
      </c>
      <c r="E21" s="38" t="n">
        <v>38</v>
      </c>
      <c r="F21" s="38" t="n">
        <v>60</v>
      </c>
      <c r="G21" s="38" t="n">
        <v>56</v>
      </c>
      <c r="H21" s="38" t="n">
        <v>41</v>
      </c>
      <c r="I21" s="38" t="n">
        <v>50</v>
      </c>
      <c r="J21" s="38" t="n">
        <v>47</v>
      </c>
      <c r="K21" s="38" t="n">
        <v>47</v>
      </c>
      <c r="L21" s="38" t="n">
        <v>69</v>
      </c>
      <c r="M21" s="39" t="n">
        <v>449</v>
      </c>
      <c r="N21" s="60" t="n">
        <v>0</v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31" t="n">
        <v>95</v>
      </c>
      <c r="E22" s="31" t="n">
        <v>97</v>
      </c>
      <c r="F22" s="31" t="n">
        <v>97</v>
      </c>
      <c r="G22" s="31" t="n">
        <v>87</v>
      </c>
      <c r="H22" s="31" t="n">
        <v>73</v>
      </c>
      <c r="I22" s="31" t="n">
        <v>71</v>
      </c>
      <c r="J22" s="31" t="n">
        <v>90</v>
      </c>
      <c r="K22" s="31" t="n">
        <v>87</v>
      </c>
      <c r="L22" s="31" t="n">
        <v>96</v>
      </c>
      <c r="M22" s="32" t="n">
        <v>793</v>
      </c>
      <c r="N22" s="58" t="n">
        <v>0</v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38" t="n">
        <v>36</v>
      </c>
      <c r="E23" s="38" t="n">
        <v>42</v>
      </c>
      <c r="F23" s="38" t="n">
        <v>31</v>
      </c>
      <c r="G23" s="38" t="n">
        <v>35</v>
      </c>
      <c r="H23" s="38" t="n">
        <v>42</v>
      </c>
      <c r="I23" s="38" t="n">
        <v>30</v>
      </c>
      <c r="J23" s="41" t="n">
        <v>20</v>
      </c>
      <c r="K23" s="41" t="n">
        <v>18</v>
      </c>
      <c r="L23" s="41" t="n">
        <v>28</v>
      </c>
      <c r="M23" s="39" t="n">
        <v>282</v>
      </c>
      <c r="N23" s="41" t="n">
        <v>3</v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31" t="n">
        <v>59</v>
      </c>
      <c r="E24" s="31" t="n">
        <v>61</v>
      </c>
      <c r="F24" s="31" t="n">
        <v>64</v>
      </c>
      <c r="G24" s="31" t="n">
        <v>61</v>
      </c>
      <c r="H24" s="31" t="n">
        <v>85</v>
      </c>
      <c r="I24" s="31" t="n">
        <v>56</v>
      </c>
      <c r="J24" s="31" t="n">
        <v>73</v>
      </c>
      <c r="K24" s="31" t="n">
        <v>78</v>
      </c>
      <c r="L24" s="31" t="n">
        <v>72</v>
      </c>
      <c r="M24" s="32" t="n">
        <v>609</v>
      </c>
      <c r="N24" s="58" t="n">
        <v>0</v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38" t="n">
        <v>68</v>
      </c>
      <c r="E25" s="38" t="n">
        <v>45</v>
      </c>
      <c r="F25" s="38" t="n">
        <v>38</v>
      </c>
      <c r="G25" s="38" t="n">
        <v>67</v>
      </c>
      <c r="H25" s="38" t="n">
        <v>40</v>
      </c>
      <c r="I25" s="38" t="n">
        <v>46</v>
      </c>
      <c r="J25" s="41" t="n">
        <v>17</v>
      </c>
      <c r="K25" s="38" t="n">
        <v>73</v>
      </c>
      <c r="L25" s="38" t="n">
        <v>39</v>
      </c>
      <c r="M25" s="39" t="n">
        <v>433</v>
      </c>
      <c r="N25" s="41" t="n">
        <v>1</v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31" t="n">
        <v>89</v>
      </c>
      <c r="E26" s="31" t="n">
        <v>72</v>
      </c>
      <c r="F26" s="31" t="n">
        <v>83</v>
      </c>
      <c r="G26" s="31" t="n">
        <v>91</v>
      </c>
      <c r="H26" s="31" t="n">
        <v>88</v>
      </c>
      <c r="I26" s="31" t="n">
        <v>88</v>
      </c>
      <c r="J26" s="31" t="n">
        <v>86</v>
      </c>
      <c r="K26" s="31" t="n">
        <v>80</v>
      </c>
      <c r="L26" s="31" t="n">
        <v>78</v>
      </c>
      <c r="M26" s="32" t="n">
        <v>755</v>
      </c>
      <c r="N26" s="58" t="n">
        <v>0</v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38" t="n">
        <v>54</v>
      </c>
      <c r="E27" s="38" t="n">
        <v>64</v>
      </c>
      <c r="F27" s="38" t="n">
        <v>55</v>
      </c>
      <c r="G27" s="38" t="n">
        <v>39</v>
      </c>
      <c r="H27" s="38" t="n">
        <v>35</v>
      </c>
      <c r="I27" s="38" t="n">
        <v>64</v>
      </c>
      <c r="J27" s="38" t="n">
        <v>71</v>
      </c>
      <c r="K27" s="38" t="n">
        <v>41</v>
      </c>
      <c r="L27" s="38" t="n">
        <v>39</v>
      </c>
      <c r="M27" s="39" t="n">
        <v>462</v>
      </c>
      <c r="N27" s="60" t="n">
        <v>0</v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31" t="n">
        <v>64</v>
      </c>
      <c r="E28" s="31" t="n">
        <v>60</v>
      </c>
      <c r="F28" s="31" t="n">
        <v>69</v>
      </c>
      <c r="G28" s="31" t="n">
        <v>81</v>
      </c>
      <c r="H28" s="31" t="n">
        <v>72</v>
      </c>
      <c r="I28" s="31" t="n">
        <v>77</v>
      </c>
      <c r="J28" s="31" t="n">
        <v>64</v>
      </c>
      <c r="K28" s="31" t="n">
        <v>74</v>
      </c>
      <c r="L28" s="31" t="n">
        <v>80</v>
      </c>
      <c r="M28" s="32" t="n">
        <v>641</v>
      </c>
      <c r="N28" s="58" t="n">
        <v>0</v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38" t="n">
        <v>41</v>
      </c>
      <c r="E29" s="38" t="n">
        <v>43</v>
      </c>
      <c r="F29" s="38" t="n">
        <v>51</v>
      </c>
      <c r="G29" s="38" t="n">
        <v>42</v>
      </c>
      <c r="H29" s="38" t="n">
        <v>41</v>
      </c>
      <c r="I29" s="38" t="n">
        <v>70</v>
      </c>
      <c r="J29" s="38" t="n">
        <v>44</v>
      </c>
      <c r="K29" s="38" t="n">
        <v>52</v>
      </c>
      <c r="L29" s="38" t="n">
        <v>53</v>
      </c>
      <c r="M29" s="39" t="n">
        <v>437</v>
      </c>
      <c r="N29" s="60" t="n">
        <v>0</v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31" t="n">
        <v>90</v>
      </c>
      <c r="E30" s="31" t="n">
        <v>83</v>
      </c>
      <c r="F30" s="31" t="n">
        <v>96</v>
      </c>
      <c r="G30" s="31" t="n">
        <v>78</v>
      </c>
      <c r="H30" s="31" t="n">
        <v>71</v>
      </c>
      <c r="I30" s="31" t="n">
        <v>70</v>
      </c>
      <c r="J30" s="31" t="n">
        <v>80</v>
      </c>
      <c r="K30" s="31" t="n">
        <v>94</v>
      </c>
      <c r="L30" s="31" t="n">
        <v>74</v>
      </c>
      <c r="M30" s="32" t="n">
        <v>736</v>
      </c>
      <c r="N30" s="58" t="n">
        <v>0</v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38" t="n">
        <v>35</v>
      </c>
      <c r="E31" s="38" t="n">
        <v>42</v>
      </c>
      <c r="F31" s="38" t="n">
        <v>39</v>
      </c>
      <c r="G31" s="38" t="n">
        <v>44</v>
      </c>
      <c r="H31" s="38" t="n">
        <v>69</v>
      </c>
      <c r="I31" s="38" t="n">
        <v>37</v>
      </c>
      <c r="J31" s="38" t="n">
        <v>58</v>
      </c>
      <c r="K31" s="38" t="n">
        <v>72</v>
      </c>
      <c r="L31" s="38" t="n">
        <v>70</v>
      </c>
      <c r="M31" s="39" t="n">
        <v>466</v>
      </c>
      <c r="N31" s="60" t="n">
        <v>0</v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31" t="n">
        <v>76</v>
      </c>
      <c r="E32" s="31" t="n">
        <v>62</v>
      </c>
      <c r="F32" s="31" t="n">
        <v>76</v>
      </c>
      <c r="G32" s="31" t="n">
        <v>58</v>
      </c>
      <c r="H32" s="31" t="n">
        <v>66</v>
      </c>
      <c r="I32" s="31" t="n">
        <v>79</v>
      </c>
      <c r="J32" s="31" t="n">
        <v>72</v>
      </c>
      <c r="K32" s="31" t="n">
        <v>83</v>
      </c>
      <c r="L32" s="31" t="n">
        <v>82</v>
      </c>
      <c r="M32" s="32" t="n">
        <v>654</v>
      </c>
      <c r="N32" s="58" t="n">
        <v>0</v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38" t="n">
        <v>35</v>
      </c>
      <c r="E33" s="38" t="n">
        <v>43</v>
      </c>
      <c r="F33" s="41" t="n">
        <v>14</v>
      </c>
      <c r="G33" s="38" t="n">
        <v>35</v>
      </c>
      <c r="H33" s="38" t="n">
        <v>40</v>
      </c>
      <c r="I33" s="41" t="n">
        <v>26</v>
      </c>
      <c r="J33" s="38" t="n">
        <v>43</v>
      </c>
      <c r="K33" s="38" t="n">
        <v>51</v>
      </c>
      <c r="L33" s="41" t="n">
        <v>27</v>
      </c>
      <c r="M33" s="39" t="n">
        <v>314</v>
      </c>
      <c r="N33" s="41" t="n">
        <v>3</v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31" t="n">
        <v>47</v>
      </c>
      <c r="E34" s="31" t="n">
        <v>64</v>
      </c>
      <c r="F34" s="31" t="n">
        <v>57</v>
      </c>
      <c r="G34" s="31" t="n">
        <v>54</v>
      </c>
      <c r="H34" s="31" t="n">
        <v>49</v>
      </c>
      <c r="I34" s="31" t="n">
        <v>49</v>
      </c>
      <c r="J34" s="31" t="n">
        <v>36</v>
      </c>
      <c r="K34" s="31" t="n">
        <v>47</v>
      </c>
      <c r="L34" s="31" t="n">
        <v>60</v>
      </c>
      <c r="M34" s="32" t="n">
        <v>463</v>
      </c>
      <c r="N34" s="58" t="n">
        <v>0</v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38" t="n">
        <v>70</v>
      </c>
      <c r="E35" s="38" t="n">
        <v>73</v>
      </c>
      <c r="F35" s="38" t="n">
        <v>98</v>
      </c>
      <c r="G35" s="38" t="n">
        <v>78</v>
      </c>
      <c r="H35" s="38" t="n">
        <v>75</v>
      </c>
      <c r="I35" s="38" t="n">
        <v>88</v>
      </c>
      <c r="J35" s="38" t="n">
        <v>78</v>
      </c>
      <c r="K35" s="38" t="n">
        <v>71</v>
      </c>
      <c r="L35" s="38" t="n">
        <v>73</v>
      </c>
      <c r="M35" s="39" t="n">
        <v>704</v>
      </c>
      <c r="N35" s="60" t="n">
        <v>0</v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31" t="n">
        <v>42</v>
      </c>
      <c r="E36" s="31" t="n">
        <v>59</v>
      </c>
      <c r="F36" s="31" t="n">
        <v>71</v>
      </c>
      <c r="G36" s="31" t="n">
        <v>47</v>
      </c>
      <c r="H36" s="31" t="n">
        <v>51</v>
      </c>
      <c r="I36" s="31" t="n">
        <v>37</v>
      </c>
      <c r="J36" s="31" t="n">
        <v>62</v>
      </c>
      <c r="K36" s="31" t="n">
        <v>35</v>
      </c>
      <c r="L36" s="31" t="n">
        <v>68</v>
      </c>
      <c r="M36" s="32" t="n">
        <v>472</v>
      </c>
      <c r="N36" s="58" t="n">
        <v>0</v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38" t="n">
        <v>55</v>
      </c>
      <c r="E37" s="38" t="n">
        <v>42</v>
      </c>
      <c r="F37" s="38" t="n">
        <v>54</v>
      </c>
      <c r="G37" s="38" t="n">
        <v>67</v>
      </c>
      <c r="H37" s="38" t="n">
        <v>54</v>
      </c>
      <c r="I37" s="38" t="n">
        <v>61</v>
      </c>
      <c r="J37" s="38" t="n">
        <v>55</v>
      </c>
      <c r="K37" s="38" t="n">
        <v>60</v>
      </c>
      <c r="L37" s="38" t="n">
        <v>53</v>
      </c>
      <c r="M37" s="39" t="n">
        <v>501</v>
      </c>
      <c r="N37" s="60" t="n">
        <v>0</v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31" t="n">
        <v>72</v>
      </c>
      <c r="E38" s="31" t="n">
        <v>81</v>
      </c>
      <c r="F38" s="31" t="n">
        <v>55</v>
      </c>
      <c r="G38" s="31" t="n">
        <v>64</v>
      </c>
      <c r="H38" s="31" t="n">
        <v>64</v>
      </c>
      <c r="I38" s="31" t="n">
        <v>61</v>
      </c>
      <c r="J38" s="31" t="n">
        <v>68</v>
      </c>
      <c r="K38" s="31" t="n">
        <v>80</v>
      </c>
      <c r="L38" s="31" t="n">
        <v>73</v>
      </c>
      <c r="M38" s="32" t="n">
        <v>618</v>
      </c>
      <c r="N38" s="58" t="n">
        <v>0</v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38" t="n">
        <v>65</v>
      </c>
      <c r="E39" s="38" t="n">
        <v>45</v>
      </c>
      <c r="F39" s="38" t="n">
        <v>40</v>
      </c>
      <c r="G39" s="38" t="n">
        <v>53</v>
      </c>
      <c r="H39" s="38" t="n">
        <v>67</v>
      </c>
      <c r="I39" s="38" t="n">
        <v>56</v>
      </c>
      <c r="J39" s="38" t="n">
        <v>40</v>
      </c>
      <c r="K39" s="38" t="n">
        <v>50</v>
      </c>
      <c r="L39" s="38" t="n">
        <v>54</v>
      </c>
      <c r="M39" s="39" t="n">
        <v>470</v>
      </c>
      <c r="N39" s="60" t="n">
        <v>0</v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31" t="n">
        <v>83</v>
      </c>
      <c r="E40" s="31" t="n">
        <v>98</v>
      </c>
      <c r="F40" s="31" t="n">
        <v>90</v>
      </c>
      <c r="G40" s="31" t="n">
        <v>88</v>
      </c>
      <c r="H40" s="31" t="n">
        <v>76</v>
      </c>
      <c r="I40" s="31" t="n">
        <v>92</v>
      </c>
      <c r="J40" s="31" t="n">
        <v>92</v>
      </c>
      <c r="K40" s="31" t="n">
        <v>82</v>
      </c>
      <c r="L40" s="31" t="n">
        <v>85</v>
      </c>
      <c r="M40" s="32" t="n">
        <v>786</v>
      </c>
      <c r="N40" s="58" t="n">
        <v>0</v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38" t="n">
        <v>41</v>
      </c>
      <c r="E41" s="41" t="n">
        <v>28</v>
      </c>
      <c r="F41" s="38" t="n">
        <v>62</v>
      </c>
      <c r="G41" s="38" t="n">
        <v>49</v>
      </c>
      <c r="H41" s="38" t="n">
        <v>46</v>
      </c>
      <c r="I41" s="38" t="n">
        <v>68</v>
      </c>
      <c r="J41" s="38" t="n">
        <v>64</v>
      </c>
      <c r="K41" s="38" t="n">
        <v>38</v>
      </c>
      <c r="L41" s="38" t="n">
        <v>70</v>
      </c>
      <c r="M41" s="39" t="n">
        <v>466</v>
      </c>
      <c r="N41" s="41" t="n">
        <v>1</v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31" t="n">
        <v>65</v>
      </c>
      <c r="E42" s="31" t="n">
        <v>85</v>
      </c>
      <c r="F42" s="31" t="n">
        <v>79</v>
      </c>
      <c r="G42" s="31" t="n">
        <v>83</v>
      </c>
      <c r="H42" s="31" t="n">
        <v>69</v>
      </c>
      <c r="I42" s="31" t="n">
        <v>74</v>
      </c>
      <c r="J42" s="31" t="n">
        <v>81</v>
      </c>
      <c r="K42" s="31" t="n">
        <v>78</v>
      </c>
      <c r="L42" s="31" t="n">
        <v>83</v>
      </c>
      <c r="M42" s="32" t="n">
        <v>697</v>
      </c>
      <c r="N42" s="58" t="n">
        <v>0</v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38" t="n">
        <v>65</v>
      </c>
      <c r="E43" s="38" t="n">
        <v>63</v>
      </c>
      <c r="F43" s="38" t="n">
        <v>51</v>
      </c>
      <c r="G43" s="38" t="n">
        <v>50</v>
      </c>
      <c r="H43" s="38" t="n">
        <v>52</v>
      </c>
      <c r="I43" s="38" t="n">
        <v>68</v>
      </c>
      <c r="J43" s="38" t="n">
        <v>66</v>
      </c>
      <c r="K43" s="38" t="n">
        <v>50</v>
      </c>
      <c r="L43" s="38" t="n">
        <v>52</v>
      </c>
      <c r="M43" s="39" t="n">
        <v>517</v>
      </c>
      <c r="N43" s="60" t="n">
        <v>0</v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31" t="n">
        <v>74</v>
      </c>
      <c r="E44" s="31" t="n">
        <v>74</v>
      </c>
      <c r="F44" s="31" t="n">
        <v>77</v>
      </c>
      <c r="G44" s="31" t="n">
        <v>82</v>
      </c>
      <c r="H44" s="31" t="n">
        <v>92</v>
      </c>
      <c r="I44" s="31" t="n">
        <v>74</v>
      </c>
      <c r="J44" s="31" t="n">
        <v>92</v>
      </c>
      <c r="K44" s="31" t="n">
        <v>76</v>
      </c>
      <c r="L44" s="31" t="n">
        <v>72</v>
      </c>
      <c r="M44" s="32" t="n">
        <v>713</v>
      </c>
      <c r="N44" s="58" t="n">
        <v>0</v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38" t="n">
        <v>43</v>
      </c>
      <c r="E45" s="41" t="n">
        <v>20</v>
      </c>
      <c r="F45" s="38" t="n">
        <v>48</v>
      </c>
      <c r="G45" s="38" t="n">
        <v>52</v>
      </c>
      <c r="H45" s="41" t="n">
        <v>14</v>
      </c>
      <c r="I45" s="38" t="n">
        <v>48</v>
      </c>
      <c r="J45" s="38" t="n">
        <v>42</v>
      </c>
      <c r="K45" s="41" t="n">
        <v>21</v>
      </c>
      <c r="L45" s="38" t="n">
        <v>30</v>
      </c>
      <c r="M45" s="39" t="n">
        <v>318</v>
      </c>
      <c r="N45" s="41" t="n">
        <v>3</v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31" t="n">
        <v>62</v>
      </c>
      <c r="E46" s="31" t="n">
        <v>63</v>
      </c>
      <c r="F46" s="31" t="n">
        <v>68</v>
      </c>
      <c r="G46" s="31" t="n">
        <v>70</v>
      </c>
      <c r="H46" s="31" t="n">
        <v>55</v>
      </c>
      <c r="I46" s="31" t="n">
        <v>67</v>
      </c>
      <c r="J46" s="31" t="n">
        <v>65</v>
      </c>
      <c r="K46" s="31" t="n">
        <v>76</v>
      </c>
      <c r="L46" s="31" t="n">
        <v>76</v>
      </c>
      <c r="M46" s="32" t="n">
        <v>602</v>
      </c>
      <c r="N46" s="58" t="n">
        <v>0</v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38" t="n">
        <v>69</v>
      </c>
      <c r="E47" s="38" t="n">
        <v>36</v>
      </c>
      <c r="F47" s="38" t="n">
        <v>60</v>
      </c>
      <c r="G47" s="41" t="n">
        <v>25</v>
      </c>
      <c r="H47" s="38" t="n">
        <v>71</v>
      </c>
      <c r="I47" s="38" t="n">
        <v>77</v>
      </c>
      <c r="J47" s="38" t="n">
        <v>36</v>
      </c>
      <c r="K47" s="38" t="n">
        <v>40</v>
      </c>
      <c r="L47" s="38" t="n">
        <v>76</v>
      </c>
      <c r="M47" s="39" t="n">
        <v>490</v>
      </c>
      <c r="N47" s="41" t="n">
        <v>1</v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31" t="n">
        <v>84</v>
      </c>
      <c r="E48" s="31" t="n">
        <v>80</v>
      </c>
      <c r="F48" s="31" t="n">
        <v>80</v>
      </c>
      <c r="G48" s="31" t="n">
        <v>94</v>
      </c>
      <c r="H48" s="31" t="n">
        <v>98</v>
      </c>
      <c r="I48" s="31" t="n">
        <v>82</v>
      </c>
      <c r="J48" s="31" t="n">
        <v>78</v>
      </c>
      <c r="K48" s="31" t="n">
        <v>94</v>
      </c>
      <c r="L48" s="31" t="n">
        <v>96</v>
      </c>
      <c r="M48" s="32" t="n">
        <v>786</v>
      </c>
      <c r="N48" s="58" t="n">
        <v>0</v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38" t="n">
        <v>57</v>
      </c>
      <c r="E49" s="38" t="n">
        <v>49</v>
      </c>
      <c r="F49" s="38" t="n">
        <v>39</v>
      </c>
      <c r="G49" s="38" t="n">
        <v>37</v>
      </c>
      <c r="H49" s="38" t="n">
        <v>36</v>
      </c>
      <c r="I49" s="38" t="n">
        <v>50</v>
      </c>
      <c r="J49" s="38" t="n">
        <v>47</v>
      </c>
      <c r="K49" s="38" t="n">
        <v>36</v>
      </c>
      <c r="L49" s="38" t="n">
        <v>44</v>
      </c>
      <c r="M49" s="39" t="n">
        <v>395</v>
      </c>
      <c r="N49" s="60" t="n">
        <v>0</v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31" t="n">
        <v>60</v>
      </c>
      <c r="E50" s="31" t="n">
        <v>74</v>
      </c>
      <c r="F50" s="31" t="n">
        <v>74</v>
      </c>
      <c r="G50" s="31" t="n">
        <v>85</v>
      </c>
      <c r="H50" s="31" t="n">
        <v>78</v>
      </c>
      <c r="I50" s="31" t="n">
        <v>77</v>
      </c>
      <c r="J50" s="31" t="n">
        <v>58</v>
      </c>
      <c r="K50" s="31" t="n">
        <v>79</v>
      </c>
      <c r="L50" s="31" t="n">
        <v>81</v>
      </c>
      <c r="M50" s="32" t="n">
        <v>666</v>
      </c>
      <c r="N50" s="58" t="n">
        <v>0</v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38" t="n">
        <v>59</v>
      </c>
      <c r="E51" s="38" t="n">
        <v>60</v>
      </c>
      <c r="F51" s="38" t="n">
        <v>47</v>
      </c>
      <c r="G51" s="38" t="n">
        <v>39</v>
      </c>
      <c r="H51" s="38" t="n">
        <v>72</v>
      </c>
      <c r="I51" s="38" t="n">
        <v>50</v>
      </c>
      <c r="J51" s="38" t="n">
        <v>41</v>
      </c>
      <c r="K51" s="38" t="n">
        <v>54</v>
      </c>
      <c r="L51" s="38" t="n">
        <v>42</v>
      </c>
      <c r="M51" s="39" t="n">
        <v>464</v>
      </c>
      <c r="N51" s="60" t="n">
        <v>0</v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31" t="n">
        <v>35</v>
      </c>
      <c r="E52" s="31" t="n">
        <v>61</v>
      </c>
      <c r="F52" s="31" t="n">
        <v>66</v>
      </c>
      <c r="G52" s="31" t="n">
        <v>41</v>
      </c>
      <c r="H52" s="31" t="n">
        <v>62</v>
      </c>
      <c r="I52" s="31" t="n">
        <v>58</v>
      </c>
      <c r="J52" s="31" t="n">
        <v>75</v>
      </c>
      <c r="K52" s="31" t="n">
        <v>64</v>
      </c>
      <c r="L52" s="31" t="n">
        <v>44</v>
      </c>
      <c r="M52" s="32" t="n">
        <v>506</v>
      </c>
      <c r="N52" s="58" t="n">
        <v>0</v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41" t="n">
        <v>20</v>
      </c>
      <c r="E53" s="38" t="n">
        <v>48</v>
      </c>
      <c r="F53" s="41" t="n">
        <v>18</v>
      </c>
      <c r="G53" s="38" t="n">
        <v>40</v>
      </c>
      <c r="H53" s="41" t="n">
        <v>27</v>
      </c>
      <c r="I53" s="38" t="n">
        <v>37</v>
      </c>
      <c r="J53" s="41" t="n">
        <v>27</v>
      </c>
      <c r="K53" s="38" t="n">
        <v>32</v>
      </c>
      <c r="L53" s="41" t="n">
        <v>18</v>
      </c>
      <c r="M53" s="39" t="n">
        <v>267</v>
      </c>
      <c r="N53" s="41" t="n">
        <v>5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5" customWidth="1" min="2" max="2"/>
    <col width="3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20" customWidth="1" min="13" max="13"/>
    <col width="17" customWidth="1" min="14" max="14"/>
  </cols>
  <sheetData>
    <row r="1" ht="28" customHeight="1">
      <c r="A1" s="62" t="inlineStr">
        <is>
          <t>SEMESTER 4 TO 6 DETAILED SUBJECT SCORES (COA, WT, MP, AI, CC, IS, CD, BDA, DS)</t>
        </is>
      </c>
    </row>
    <row r="2"/>
    <row r="3" ht="24" customHeight="1">
      <c r="A3" s="11" t="inlineStr">
        <is>
          <t>Roll No.</t>
        </is>
      </c>
      <c r="B3" s="11" t="inlineStr">
        <is>
          <t>Student Name</t>
        </is>
      </c>
      <c r="C3" s="11" t="inlineStr">
        <is>
          <t>Branch</t>
        </is>
      </c>
      <c r="D3" s="11" t="inlineStr">
        <is>
          <t>S4-COA</t>
        </is>
      </c>
      <c r="E3" s="11" t="inlineStr">
        <is>
          <t>S4-WT</t>
        </is>
      </c>
      <c r="F3" s="11" t="inlineStr">
        <is>
          <t>S4-MP</t>
        </is>
      </c>
      <c r="G3" s="11" t="inlineStr">
        <is>
          <t>S5-AI</t>
        </is>
      </c>
      <c r="H3" s="11" t="inlineStr">
        <is>
          <t>S5-CC</t>
        </is>
      </c>
      <c r="I3" s="11" t="inlineStr">
        <is>
          <t>S5-IS</t>
        </is>
      </c>
      <c r="J3" s="11" t="inlineStr">
        <is>
          <t>S6-CD</t>
        </is>
      </c>
      <c r="K3" s="11" t="inlineStr">
        <is>
          <t>S6-BDA</t>
        </is>
      </c>
      <c r="L3" s="11" t="inlineStr">
        <is>
          <t>S6-DS</t>
        </is>
      </c>
      <c r="M3" s="11" t="inlineStr">
        <is>
          <t>S4-6 Total (900)</t>
        </is>
      </c>
      <c r="N3" s="11" t="inlineStr">
        <is>
          <t>S4-6 Backlogs</t>
        </is>
      </c>
    </row>
    <row r="4" ht="20" customHeight="1">
      <c r="A4" s="29" t="inlineStr">
        <is>
          <t>2025CS001</t>
        </is>
      </c>
      <c r="B4" s="30" t="inlineStr">
        <is>
          <t>Aarav Sharma</t>
        </is>
      </c>
      <c r="C4" s="30" t="inlineStr">
        <is>
          <t>Computer Science &amp; Engineering</t>
        </is>
      </c>
      <c r="D4" s="31" t="n">
        <v>73</v>
      </c>
      <c r="E4" s="31" t="n">
        <v>91</v>
      </c>
      <c r="F4" s="31" t="n">
        <v>93</v>
      </c>
      <c r="G4" s="31" t="n">
        <v>98</v>
      </c>
      <c r="H4" s="31" t="n">
        <v>87</v>
      </c>
      <c r="I4" s="31" t="n">
        <v>72</v>
      </c>
      <c r="J4" s="31" t="n">
        <v>88</v>
      </c>
      <c r="K4" s="31" t="n">
        <v>83</v>
      </c>
      <c r="L4" s="31" t="n">
        <v>71</v>
      </c>
      <c r="M4" s="32" t="n">
        <v>756</v>
      </c>
      <c r="N4" s="58" t="n">
        <v>0</v>
      </c>
    </row>
    <row r="5" ht="20" customHeight="1">
      <c r="A5" s="36" t="inlineStr">
        <is>
          <t>2025CS002</t>
        </is>
      </c>
      <c r="B5" s="37" t="inlineStr">
        <is>
          <t>Diya Patel</t>
        </is>
      </c>
      <c r="C5" s="37" t="inlineStr">
        <is>
          <t>Information Technology</t>
        </is>
      </c>
      <c r="D5" s="38" t="n">
        <v>92</v>
      </c>
      <c r="E5" s="38" t="n">
        <v>90</v>
      </c>
      <c r="F5" s="38" t="n">
        <v>92</v>
      </c>
      <c r="G5" s="38" t="n">
        <v>87</v>
      </c>
      <c r="H5" s="38" t="n">
        <v>83</v>
      </c>
      <c r="I5" s="38" t="n">
        <v>77</v>
      </c>
      <c r="J5" s="38" t="n">
        <v>84</v>
      </c>
      <c r="K5" s="38" t="n">
        <v>88</v>
      </c>
      <c r="L5" s="38" t="n">
        <v>78</v>
      </c>
      <c r="M5" s="39" t="n">
        <v>771</v>
      </c>
      <c r="N5" s="60" t="n">
        <v>0</v>
      </c>
    </row>
    <row r="6" ht="20" customHeight="1">
      <c r="A6" s="29" t="inlineStr">
        <is>
          <t>2025CS003</t>
        </is>
      </c>
      <c r="B6" s="30" t="inlineStr">
        <is>
          <t>Rohan Verma</t>
        </is>
      </c>
      <c r="C6" s="30" t="inlineStr">
        <is>
          <t>Computer Science &amp; Engineering</t>
        </is>
      </c>
      <c r="D6" s="31" t="n">
        <v>41</v>
      </c>
      <c r="E6" s="31" t="n">
        <v>40</v>
      </c>
      <c r="F6" s="31" t="n">
        <v>59</v>
      </c>
      <c r="G6" s="31" t="n">
        <v>41</v>
      </c>
      <c r="H6" s="31" t="n">
        <v>57</v>
      </c>
      <c r="I6" s="31" t="n">
        <v>57</v>
      </c>
      <c r="J6" s="31" t="n">
        <v>73</v>
      </c>
      <c r="K6" s="31" t="n">
        <v>51</v>
      </c>
      <c r="L6" s="31" t="n">
        <v>37</v>
      </c>
      <c r="M6" s="32" t="n">
        <v>456</v>
      </c>
      <c r="N6" s="58" t="n">
        <v>0</v>
      </c>
    </row>
    <row r="7" ht="20" customHeight="1">
      <c r="A7" s="36" t="inlineStr">
        <is>
          <t>2025CS004</t>
        </is>
      </c>
      <c r="B7" s="37" t="inlineStr">
        <is>
          <t>Ananya Iyer</t>
        </is>
      </c>
      <c r="C7" s="37" t="inlineStr">
        <is>
          <t>Artificial Intelligence &amp; DS</t>
        </is>
      </c>
      <c r="D7" s="38" t="n">
        <v>90</v>
      </c>
      <c r="E7" s="38" t="n">
        <v>89</v>
      </c>
      <c r="F7" s="38" t="n">
        <v>98</v>
      </c>
      <c r="G7" s="38" t="n">
        <v>97</v>
      </c>
      <c r="H7" s="38" t="n">
        <v>81</v>
      </c>
      <c r="I7" s="38" t="n">
        <v>88</v>
      </c>
      <c r="J7" s="38" t="n">
        <v>76</v>
      </c>
      <c r="K7" s="38" t="n">
        <v>92</v>
      </c>
      <c r="L7" s="38" t="n">
        <v>72</v>
      </c>
      <c r="M7" s="39" t="n">
        <v>783</v>
      </c>
      <c r="N7" s="60" t="n">
        <v>0</v>
      </c>
    </row>
    <row r="8" ht="20" customHeight="1">
      <c r="A8" s="29" t="inlineStr">
        <is>
          <t>2025CS005</t>
        </is>
      </c>
      <c r="B8" s="30" t="inlineStr">
        <is>
          <t>Ishaan Nair</t>
        </is>
      </c>
      <c r="C8" s="30" t="inlineStr">
        <is>
          <t>Computer Science &amp; Engineering</t>
        </is>
      </c>
      <c r="D8" s="31" t="n">
        <v>64</v>
      </c>
      <c r="E8" s="31" t="n">
        <v>75</v>
      </c>
      <c r="F8" s="31" t="n">
        <v>58</v>
      </c>
      <c r="G8" s="31" t="n">
        <v>45</v>
      </c>
      <c r="H8" s="31" t="n">
        <v>58</v>
      </c>
      <c r="I8" s="31" t="n">
        <v>57</v>
      </c>
      <c r="J8" s="31" t="n">
        <v>48</v>
      </c>
      <c r="K8" s="31" t="n">
        <v>77</v>
      </c>
      <c r="L8" s="31" t="n">
        <v>52</v>
      </c>
      <c r="M8" s="32" t="n">
        <v>534</v>
      </c>
      <c r="N8" s="58" t="n">
        <v>0</v>
      </c>
    </row>
    <row r="9" ht="20" customHeight="1">
      <c r="A9" s="36" t="inlineStr">
        <is>
          <t>2025CS006</t>
        </is>
      </c>
      <c r="B9" s="37" t="inlineStr">
        <is>
          <t>Sneha Kulkarni</t>
        </is>
      </c>
      <c r="C9" s="37" t="inlineStr">
        <is>
          <t>Information Technology</t>
        </is>
      </c>
      <c r="D9" s="38" t="n">
        <v>37</v>
      </c>
      <c r="E9" s="38" t="n">
        <v>35</v>
      </c>
      <c r="F9" s="38" t="n">
        <v>44</v>
      </c>
      <c r="G9" s="38" t="n">
        <v>42</v>
      </c>
      <c r="H9" s="38" t="n">
        <v>38</v>
      </c>
      <c r="I9" s="38" t="n">
        <v>50</v>
      </c>
      <c r="J9" s="38" t="n">
        <v>52</v>
      </c>
      <c r="K9" s="38" t="n">
        <v>47</v>
      </c>
      <c r="L9" s="38" t="n">
        <v>37</v>
      </c>
      <c r="M9" s="39" t="n">
        <v>382</v>
      </c>
      <c r="N9" s="60" t="n">
        <v>0</v>
      </c>
    </row>
    <row r="10" ht="20" customHeight="1">
      <c r="A10" s="29" t="inlineStr">
        <is>
          <t>2025CS007</t>
        </is>
      </c>
      <c r="B10" s="30" t="inlineStr">
        <is>
          <t>Aditya Mehta</t>
        </is>
      </c>
      <c r="C10" s="30" t="inlineStr">
        <is>
          <t>Computer Science &amp; Engineering</t>
        </is>
      </c>
      <c r="D10" s="31" t="n">
        <v>95</v>
      </c>
      <c r="E10" s="31" t="n">
        <v>80</v>
      </c>
      <c r="F10" s="31" t="n">
        <v>82</v>
      </c>
      <c r="G10" s="31" t="n">
        <v>78</v>
      </c>
      <c r="H10" s="31" t="n">
        <v>72</v>
      </c>
      <c r="I10" s="31" t="n">
        <v>76</v>
      </c>
      <c r="J10" s="31" t="n">
        <v>88</v>
      </c>
      <c r="K10" s="31" t="n">
        <v>98</v>
      </c>
      <c r="L10" s="31" t="n">
        <v>92</v>
      </c>
      <c r="M10" s="32" t="n">
        <v>761</v>
      </c>
      <c r="N10" s="58" t="n">
        <v>0</v>
      </c>
    </row>
    <row r="11" ht="20" customHeight="1">
      <c r="A11" s="36" t="inlineStr">
        <is>
          <t>2025CS008</t>
        </is>
      </c>
      <c r="B11" s="37" t="inlineStr">
        <is>
          <t>Pooja Reddy</t>
        </is>
      </c>
      <c r="C11" s="37" t="inlineStr">
        <is>
          <t>Artificial Intelligence &amp; DS</t>
        </is>
      </c>
      <c r="D11" s="38" t="n">
        <v>43</v>
      </c>
      <c r="E11" s="38" t="n">
        <v>50</v>
      </c>
      <c r="F11" s="38" t="n">
        <v>70</v>
      </c>
      <c r="G11" s="38" t="n">
        <v>69</v>
      </c>
      <c r="H11" s="38" t="n">
        <v>51</v>
      </c>
      <c r="I11" s="38" t="n">
        <v>72</v>
      </c>
      <c r="J11" s="38" t="n">
        <v>62</v>
      </c>
      <c r="K11" s="38" t="n">
        <v>72</v>
      </c>
      <c r="L11" s="38" t="n">
        <v>60</v>
      </c>
      <c r="M11" s="39" t="n">
        <v>549</v>
      </c>
      <c r="N11" s="60" t="n">
        <v>0</v>
      </c>
    </row>
    <row r="12" ht="20" customHeight="1">
      <c r="A12" s="29" t="inlineStr">
        <is>
          <t>2025CS009</t>
        </is>
      </c>
      <c r="B12" s="30" t="inlineStr">
        <is>
          <t>Vikram Singh</t>
        </is>
      </c>
      <c r="C12" s="30" t="inlineStr">
        <is>
          <t>Computer Science &amp; Engineering</t>
        </is>
      </c>
      <c r="D12" s="31" t="n">
        <v>50</v>
      </c>
      <c r="E12" s="31" t="n">
        <v>35</v>
      </c>
      <c r="F12" s="31" t="n">
        <v>51</v>
      </c>
      <c r="G12" s="31" t="n">
        <v>43</v>
      </c>
      <c r="H12" s="31" t="n">
        <v>49</v>
      </c>
      <c r="I12" s="31" t="n">
        <v>32</v>
      </c>
      <c r="J12" s="31" t="n">
        <v>42</v>
      </c>
      <c r="K12" s="31" t="n">
        <v>42</v>
      </c>
      <c r="L12" s="31" t="n">
        <v>49</v>
      </c>
      <c r="M12" s="32" t="n">
        <v>393</v>
      </c>
      <c r="N12" s="58" t="n">
        <v>0</v>
      </c>
    </row>
    <row r="13" ht="20" customHeight="1">
      <c r="A13" s="36" t="inlineStr">
        <is>
          <t>2025CS010</t>
        </is>
      </c>
      <c r="B13" s="37" t="inlineStr">
        <is>
          <t>Riya Gupta</t>
        </is>
      </c>
      <c r="C13" s="37" t="inlineStr">
        <is>
          <t>Information Technology</t>
        </is>
      </c>
      <c r="D13" s="38" t="n">
        <v>91</v>
      </c>
      <c r="E13" s="38" t="n">
        <v>98</v>
      </c>
      <c r="F13" s="38" t="n">
        <v>87</v>
      </c>
      <c r="G13" s="38" t="n">
        <v>94</v>
      </c>
      <c r="H13" s="38" t="n">
        <v>78</v>
      </c>
      <c r="I13" s="38" t="n">
        <v>94</v>
      </c>
      <c r="J13" s="38" t="n">
        <v>90</v>
      </c>
      <c r="K13" s="38" t="n">
        <v>80</v>
      </c>
      <c r="L13" s="38" t="n">
        <v>73</v>
      </c>
      <c r="M13" s="39" t="n">
        <v>785</v>
      </c>
      <c r="N13" s="60" t="n">
        <v>0</v>
      </c>
    </row>
    <row r="14" ht="20" customHeight="1">
      <c r="A14" s="29" t="inlineStr">
        <is>
          <t>2025CS011</t>
        </is>
      </c>
      <c r="B14" s="30" t="inlineStr">
        <is>
          <t>Tanvi Deshmukh</t>
        </is>
      </c>
      <c r="C14" s="30" t="inlineStr">
        <is>
          <t>Computer Engineering</t>
        </is>
      </c>
      <c r="D14" s="31" t="n">
        <v>63</v>
      </c>
      <c r="E14" s="31" t="n">
        <v>71</v>
      </c>
      <c r="F14" s="31" t="n">
        <v>79</v>
      </c>
      <c r="G14" s="31" t="n">
        <v>60</v>
      </c>
      <c r="H14" s="31" t="n">
        <v>71</v>
      </c>
      <c r="I14" s="31" t="n">
        <v>84</v>
      </c>
      <c r="J14" s="31" t="n">
        <v>58</v>
      </c>
      <c r="K14" s="31" t="n">
        <v>82</v>
      </c>
      <c r="L14" s="31" t="n">
        <v>75</v>
      </c>
      <c r="M14" s="32" t="n">
        <v>643</v>
      </c>
      <c r="N14" s="58" t="n">
        <v>0</v>
      </c>
    </row>
    <row r="15" ht="20" customHeight="1">
      <c r="A15" s="36" t="inlineStr">
        <is>
          <t>2025CS012</t>
        </is>
      </c>
      <c r="B15" s="37" t="inlineStr">
        <is>
          <t>Aryan Joshi</t>
        </is>
      </c>
      <c r="C15" s="37" t="inlineStr">
        <is>
          <t>Computer Science &amp; Engineering</t>
        </is>
      </c>
      <c r="D15" s="38" t="n">
        <v>75</v>
      </c>
      <c r="E15" s="38" t="n">
        <v>87</v>
      </c>
      <c r="F15" s="38" t="n">
        <v>94</v>
      </c>
      <c r="G15" s="38" t="n">
        <v>86</v>
      </c>
      <c r="H15" s="38" t="n">
        <v>70</v>
      </c>
      <c r="I15" s="38" t="n">
        <v>89</v>
      </c>
      <c r="J15" s="38" t="n">
        <v>80</v>
      </c>
      <c r="K15" s="38" t="n">
        <v>85</v>
      </c>
      <c r="L15" s="38" t="n">
        <v>70</v>
      </c>
      <c r="M15" s="39" t="n">
        <v>736</v>
      </c>
      <c r="N15" s="60" t="n">
        <v>0</v>
      </c>
    </row>
    <row r="16" ht="20" customHeight="1">
      <c r="A16" s="29" t="inlineStr">
        <is>
          <t>2025CS013</t>
        </is>
      </c>
      <c r="B16" s="30" t="inlineStr">
        <is>
          <t>Meera Nambiar</t>
        </is>
      </c>
      <c r="C16" s="30" t="inlineStr">
        <is>
          <t>Artificial Intelligence &amp; DS</t>
        </is>
      </c>
      <c r="D16" s="31" t="n">
        <v>66</v>
      </c>
      <c r="E16" s="31" t="n">
        <v>39</v>
      </c>
      <c r="F16" s="31" t="n">
        <v>69</v>
      </c>
      <c r="G16" s="31" t="n">
        <v>43</v>
      </c>
      <c r="H16" s="31" t="n">
        <v>43</v>
      </c>
      <c r="I16" s="31" t="n">
        <v>77</v>
      </c>
      <c r="J16" s="31" t="n">
        <v>65</v>
      </c>
      <c r="K16" s="31" t="n">
        <v>70</v>
      </c>
      <c r="L16" s="31" t="n">
        <v>45</v>
      </c>
      <c r="M16" s="32" t="n">
        <v>517</v>
      </c>
      <c r="N16" s="58" t="n">
        <v>0</v>
      </c>
    </row>
    <row r="17" ht="20" customHeight="1">
      <c r="A17" s="36" t="inlineStr">
        <is>
          <t>2025CS014</t>
        </is>
      </c>
      <c r="B17" s="37" t="inlineStr">
        <is>
          <t>Siddharth Rao</t>
        </is>
      </c>
      <c r="C17" s="37" t="inlineStr">
        <is>
          <t>Information Technology</t>
        </is>
      </c>
      <c r="D17" s="38" t="n">
        <v>79</v>
      </c>
      <c r="E17" s="38" t="n">
        <v>78</v>
      </c>
      <c r="F17" s="38" t="n">
        <v>77</v>
      </c>
      <c r="G17" s="38" t="n">
        <v>61</v>
      </c>
      <c r="H17" s="38" t="n">
        <v>77</v>
      </c>
      <c r="I17" s="38" t="n">
        <v>64</v>
      </c>
      <c r="J17" s="38" t="n">
        <v>67</v>
      </c>
      <c r="K17" s="38" t="n">
        <v>76</v>
      </c>
      <c r="L17" s="38" t="n">
        <v>75</v>
      </c>
      <c r="M17" s="39" t="n">
        <v>654</v>
      </c>
      <c r="N17" s="60" t="n">
        <v>0</v>
      </c>
    </row>
    <row r="18" ht="20" customHeight="1">
      <c r="A18" s="29" t="inlineStr">
        <is>
          <t>2025CS015</t>
        </is>
      </c>
      <c r="B18" s="30" t="inlineStr">
        <is>
          <t>Kavya Menon</t>
        </is>
      </c>
      <c r="C18" s="30" t="inlineStr">
        <is>
          <t>Computer Science &amp; Engineering</t>
        </is>
      </c>
      <c r="D18" s="31" t="n">
        <v>80</v>
      </c>
      <c r="E18" s="31" t="n">
        <v>70</v>
      </c>
      <c r="F18" s="31" t="n">
        <v>88</v>
      </c>
      <c r="G18" s="31" t="n">
        <v>87</v>
      </c>
      <c r="H18" s="31" t="n">
        <v>77</v>
      </c>
      <c r="I18" s="31" t="n">
        <v>88</v>
      </c>
      <c r="J18" s="31" t="n">
        <v>77</v>
      </c>
      <c r="K18" s="31" t="n">
        <v>70</v>
      </c>
      <c r="L18" s="31" t="n">
        <v>72</v>
      </c>
      <c r="M18" s="32" t="n">
        <v>709</v>
      </c>
      <c r="N18" s="58" t="n">
        <v>0</v>
      </c>
    </row>
    <row r="19" ht="20" customHeight="1">
      <c r="A19" s="36" t="inlineStr">
        <is>
          <t>2025CS016</t>
        </is>
      </c>
      <c r="B19" s="37" t="inlineStr">
        <is>
          <t>Kabir Malhotra</t>
        </is>
      </c>
      <c r="C19" s="37" t="inlineStr">
        <is>
          <t>Computer Engineering</t>
        </is>
      </c>
      <c r="D19" s="38" t="n">
        <v>52</v>
      </c>
      <c r="E19" s="38" t="n">
        <v>77</v>
      </c>
      <c r="F19" s="41" t="n">
        <v>23</v>
      </c>
      <c r="G19" s="38" t="n">
        <v>48</v>
      </c>
      <c r="H19" s="38" t="n">
        <v>69</v>
      </c>
      <c r="I19" s="38" t="n">
        <v>43</v>
      </c>
      <c r="J19" s="38" t="n">
        <v>71</v>
      </c>
      <c r="K19" s="38" t="n">
        <v>71</v>
      </c>
      <c r="L19" s="38" t="n">
        <v>65</v>
      </c>
      <c r="M19" s="39" t="n">
        <v>519</v>
      </c>
      <c r="N19" s="41" t="n">
        <v>1</v>
      </c>
    </row>
    <row r="20" ht="20" customHeight="1">
      <c r="A20" s="29" t="inlineStr">
        <is>
          <t>2025CS017</t>
        </is>
      </c>
      <c r="B20" s="30" t="inlineStr">
        <is>
          <t>Neha Chawla</t>
        </is>
      </c>
      <c r="C20" s="30" t="inlineStr">
        <is>
          <t>Information Technology</t>
        </is>
      </c>
      <c r="D20" s="31" t="n">
        <v>68</v>
      </c>
      <c r="E20" s="31" t="n">
        <v>66</v>
      </c>
      <c r="F20" s="31" t="n">
        <v>68</v>
      </c>
      <c r="G20" s="31" t="n">
        <v>68</v>
      </c>
      <c r="H20" s="31" t="n">
        <v>69</v>
      </c>
      <c r="I20" s="31" t="n">
        <v>82</v>
      </c>
      <c r="J20" s="31" t="n">
        <v>78</v>
      </c>
      <c r="K20" s="31" t="n">
        <v>56</v>
      </c>
      <c r="L20" s="31" t="n">
        <v>76</v>
      </c>
      <c r="M20" s="32" t="n">
        <v>631</v>
      </c>
      <c r="N20" s="58" t="n">
        <v>0</v>
      </c>
    </row>
    <row r="21" ht="20" customHeight="1">
      <c r="A21" s="36" t="inlineStr">
        <is>
          <t>2025CS018</t>
        </is>
      </c>
      <c r="B21" s="37" t="inlineStr">
        <is>
          <t>Rahul Bansal</t>
        </is>
      </c>
      <c r="C21" s="37" t="inlineStr">
        <is>
          <t>Computer Science &amp; Engineering</t>
        </is>
      </c>
      <c r="D21" s="38" t="n">
        <v>63</v>
      </c>
      <c r="E21" s="38" t="n">
        <v>43</v>
      </c>
      <c r="F21" s="38" t="n">
        <v>62</v>
      </c>
      <c r="G21" s="38" t="n">
        <v>46</v>
      </c>
      <c r="H21" s="38" t="n">
        <v>52</v>
      </c>
      <c r="I21" s="38" t="n">
        <v>64</v>
      </c>
      <c r="J21" s="38" t="n">
        <v>50</v>
      </c>
      <c r="K21" s="38" t="n">
        <v>39</v>
      </c>
      <c r="L21" s="38" t="n">
        <v>63</v>
      </c>
      <c r="M21" s="39" t="n">
        <v>482</v>
      </c>
      <c r="N21" s="60" t="n">
        <v>0</v>
      </c>
    </row>
    <row r="22" ht="20" customHeight="1">
      <c r="A22" s="29" t="inlineStr">
        <is>
          <t>2025CS019</t>
        </is>
      </c>
      <c r="B22" s="30" t="inlineStr">
        <is>
          <t>Anika Sen</t>
        </is>
      </c>
      <c r="C22" s="30" t="inlineStr">
        <is>
          <t>Artificial Intelligence &amp; DS</t>
        </is>
      </c>
      <c r="D22" s="31" t="n">
        <v>70</v>
      </c>
      <c r="E22" s="31" t="n">
        <v>72</v>
      </c>
      <c r="F22" s="31" t="n">
        <v>94</v>
      </c>
      <c r="G22" s="31" t="n">
        <v>97</v>
      </c>
      <c r="H22" s="31" t="n">
        <v>77</v>
      </c>
      <c r="I22" s="31" t="n">
        <v>75</v>
      </c>
      <c r="J22" s="31" t="n">
        <v>83</v>
      </c>
      <c r="K22" s="31" t="n">
        <v>85</v>
      </c>
      <c r="L22" s="31" t="n">
        <v>85</v>
      </c>
      <c r="M22" s="32" t="n">
        <v>738</v>
      </c>
      <c r="N22" s="58" t="n">
        <v>0</v>
      </c>
    </row>
    <row r="23" ht="20" customHeight="1">
      <c r="A23" s="36" t="inlineStr">
        <is>
          <t>2025CS020</t>
        </is>
      </c>
      <c r="B23" s="37" t="inlineStr">
        <is>
          <t>Yashvardhan Singhania</t>
        </is>
      </c>
      <c r="C23" s="37" t="inlineStr">
        <is>
          <t>Computer Science &amp; Engineering</t>
        </is>
      </c>
      <c r="D23" s="41" t="n">
        <v>26</v>
      </c>
      <c r="E23" s="38" t="n">
        <v>44</v>
      </c>
      <c r="F23" s="38" t="n">
        <v>39</v>
      </c>
      <c r="G23" s="38" t="n">
        <v>43</v>
      </c>
      <c r="H23" s="38" t="n">
        <v>52</v>
      </c>
      <c r="I23" s="38" t="n">
        <v>47</v>
      </c>
      <c r="J23" s="38" t="n">
        <v>51</v>
      </c>
      <c r="K23" s="38" t="n">
        <v>52</v>
      </c>
      <c r="L23" s="38" t="n">
        <v>45</v>
      </c>
      <c r="M23" s="39" t="n">
        <v>399</v>
      </c>
      <c r="N23" s="41" t="n">
        <v>1</v>
      </c>
    </row>
    <row r="24" ht="20" customHeight="1">
      <c r="A24" s="29" t="inlineStr">
        <is>
          <t>2025CS021</t>
        </is>
      </c>
      <c r="B24" s="30" t="inlineStr">
        <is>
          <t>Shreya Bhattacharya</t>
        </is>
      </c>
      <c r="C24" s="30" t="inlineStr">
        <is>
          <t>Information Technology</t>
        </is>
      </c>
      <c r="D24" s="31" t="n">
        <v>56</v>
      </c>
      <c r="E24" s="31" t="n">
        <v>78</v>
      </c>
      <c r="F24" s="31" t="n">
        <v>65</v>
      </c>
      <c r="G24" s="31" t="n">
        <v>56</v>
      </c>
      <c r="H24" s="31" t="n">
        <v>56</v>
      </c>
      <c r="I24" s="31" t="n">
        <v>73</v>
      </c>
      <c r="J24" s="31" t="n">
        <v>70</v>
      </c>
      <c r="K24" s="31" t="n">
        <v>71</v>
      </c>
      <c r="L24" s="31" t="n">
        <v>84</v>
      </c>
      <c r="M24" s="32" t="n">
        <v>609</v>
      </c>
      <c r="N24" s="58" t="n">
        <v>0</v>
      </c>
    </row>
    <row r="25" ht="20" customHeight="1">
      <c r="A25" s="36" t="inlineStr">
        <is>
          <t>2025CS022</t>
        </is>
      </c>
      <c r="B25" s="37" t="inlineStr">
        <is>
          <t>Varun Kapoor</t>
        </is>
      </c>
      <c r="C25" s="37" t="inlineStr">
        <is>
          <t>Computer Science &amp; Engineering</t>
        </is>
      </c>
      <c r="D25" s="38" t="n">
        <v>78</v>
      </c>
      <c r="E25" s="38" t="n">
        <v>50</v>
      </c>
      <c r="F25" s="38" t="n">
        <v>60</v>
      </c>
      <c r="G25" s="38" t="n">
        <v>42</v>
      </c>
      <c r="H25" s="38" t="n">
        <v>71</v>
      </c>
      <c r="I25" s="38" t="n">
        <v>50</v>
      </c>
      <c r="J25" s="38" t="n">
        <v>72</v>
      </c>
      <c r="K25" s="38" t="n">
        <v>73</v>
      </c>
      <c r="L25" s="38" t="n">
        <v>37</v>
      </c>
      <c r="M25" s="39" t="n">
        <v>533</v>
      </c>
      <c r="N25" s="60" t="n">
        <v>0</v>
      </c>
    </row>
    <row r="26" ht="20" customHeight="1">
      <c r="A26" s="29" t="inlineStr">
        <is>
          <t>2025CS023</t>
        </is>
      </c>
      <c r="B26" s="30" t="inlineStr">
        <is>
          <t>Prisha Hegde</t>
        </is>
      </c>
      <c r="C26" s="30" t="inlineStr">
        <is>
          <t>Artificial Intelligence &amp; DS</t>
        </is>
      </c>
      <c r="D26" s="31" t="n">
        <v>76</v>
      </c>
      <c r="E26" s="31" t="n">
        <v>91</v>
      </c>
      <c r="F26" s="31" t="n">
        <v>92</v>
      </c>
      <c r="G26" s="31" t="n">
        <v>80</v>
      </c>
      <c r="H26" s="31" t="n">
        <v>77</v>
      </c>
      <c r="I26" s="31" t="n">
        <v>78</v>
      </c>
      <c r="J26" s="31" t="n">
        <v>82</v>
      </c>
      <c r="K26" s="31" t="n">
        <v>74</v>
      </c>
      <c r="L26" s="31" t="n">
        <v>91</v>
      </c>
      <c r="M26" s="32" t="n">
        <v>741</v>
      </c>
      <c r="N26" s="58" t="n">
        <v>0</v>
      </c>
    </row>
    <row r="27" ht="20" customHeight="1">
      <c r="A27" s="36" t="inlineStr">
        <is>
          <t>2025CS024</t>
        </is>
      </c>
      <c r="B27" s="37" t="inlineStr">
        <is>
          <t>Harshavardhan Rathi</t>
        </is>
      </c>
      <c r="C27" s="37" t="inlineStr">
        <is>
          <t>Computer Engineering</t>
        </is>
      </c>
      <c r="D27" s="38" t="n">
        <v>69</v>
      </c>
      <c r="E27" s="38" t="n">
        <v>48</v>
      </c>
      <c r="F27" s="38" t="n">
        <v>67</v>
      </c>
      <c r="G27" s="38" t="n">
        <v>51</v>
      </c>
      <c r="H27" s="38" t="n">
        <v>43</v>
      </c>
      <c r="I27" s="38" t="n">
        <v>57</v>
      </c>
      <c r="J27" s="38" t="n">
        <v>39</v>
      </c>
      <c r="K27" s="38" t="n">
        <v>50</v>
      </c>
      <c r="L27" s="38" t="n">
        <v>58</v>
      </c>
      <c r="M27" s="39" t="n">
        <v>482</v>
      </c>
      <c r="N27" s="60" t="n">
        <v>0</v>
      </c>
    </row>
    <row r="28" ht="20" customHeight="1">
      <c r="A28" s="29" t="inlineStr">
        <is>
          <t>2025CS025</t>
        </is>
      </c>
      <c r="B28" s="30" t="inlineStr">
        <is>
          <t>Simran Kaur</t>
        </is>
      </c>
      <c r="C28" s="30" t="inlineStr">
        <is>
          <t>Information Technology</t>
        </is>
      </c>
      <c r="D28" s="31" t="n">
        <v>75</v>
      </c>
      <c r="E28" s="31" t="n">
        <v>71</v>
      </c>
      <c r="F28" s="31" t="n">
        <v>55</v>
      </c>
      <c r="G28" s="31" t="n">
        <v>76</v>
      </c>
      <c r="H28" s="31" t="n">
        <v>81</v>
      </c>
      <c r="I28" s="31" t="n">
        <v>72</v>
      </c>
      <c r="J28" s="31" t="n">
        <v>64</v>
      </c>
      <c r="K28" s="31" t="n">
        <v>84</v>
      </c>
      <c r="L28" s="31" t="n">
        <v>76</v>
      </c>
      <c r="M28" s="32" t="n">
        <v>654</v>
      </c>
      <c r="N28" s="58" t="n">
        <v>0</v>
      </c>
    </row>
    <row r="29" ht="20" customHeight="1">
      <c r="A29" s="36" t="inlineStr">
        <is>
          <t>2025CS026</t>
        </is>
      </c>
      <c r="B29" s="37" t="inlineStr">
        <is>
          <t>Devansh Saxena</t>
        </is>
      </c>
      <c r="C29" s="37" t="inlineStr">
        <is>
          <t>Computer Science &amp; Engineering</t>
        </is>
      </c>
      <c r="D29" s="38" t="n">
        <v>48</v>
      </c>
      <c r="E29" s="38" t="n">
        <v>56</v>
      </c>
      <c r="F29" s="38" t="n">
        <v>48</v>
      </c>
      <c r="G29" s="38" t="n">
        <v>51</v>
      </c>
      <c r="H29" s="38" t="n">
        <v>67</v>
      </c>
      <c r="I29" s="38" t="n">
        <v>66</v>
      </c>
      <c r="J29" s="38" t="n">
        <v>51</v>
      </c>
      <c r="K29" s="38" t="n">
        <v>38</v>
      </c>
      <c r="L29" s="38" t="n">
        <v>40</v>
      </c>
      <c r="M29" s="39" t="n">
        <v>465</v>
      </c>
      <c r="N29" s="60" t="n">
        <v>0</v>
      </c>
    </row>
    <row r="30" ht="20" customHeight="1">
      <c r="A30" s="29" t="inlineStr">
        <is>
          <t>2025CS027</t>
        </is>
      </c>
      <c r="B30" s="30" t="inlineStr">
        <is>
          <t>Avani Pillai</t>
        </is>
      </c>
      <c r="C30" s="30" t="inlineStr">
        <is>
          <t>Artificial Intelligence &amp; DS</t>
        </is>
      </c>
      <c r="D30" s="31" t="n">
        <v>90</v>
      </c>
      <c r="E30" s="31" t="n">
        <v>78</v>
      </c>
      <c r="F30" s="31" t="n">
        <v>75</v>
      </c>
      <c r="G30" s="31" t="n">
        <v>93</v>
      </c>
      <c r="H30" s="31" t="n">
        <v>84</v>
      </c>
      <c r="I30" s="31" t="n">
        <v>87</v>
      </c>
      <c r="J30" s="31" t="n">
        <v>92</v>
      </c>
      <c r="K30" s="31" t="n">
        <v>83</v>
      </c>
      <c r="L30" s="31" t="n">
        <v>87</v>
      </c>
      <c r="M30" s="32" t="n">
        <v>769</v>
      </c>
      <c r="N30" s="58" t="n">
        <v>0</v>
      </c>
    </row>
    <row r="31" ht="20" customHeight="1">
      <c r="A31" s="36" t="inlineStr">
        <is>
          <t>2025CS028</t>
        </is>
      </c>
      <c r="B31" s="37" t="inlineStr">
        <is>
          <t>Kunal Gokhale</t>
        </is>
      </c>
      <c r="C31" s="37" t="inlineStr">
        <is>
          <t>Information Technology</t>
        </is>
      </c>
      <c r="D31" s="41" t="n">
        <v>18</v>
      </c>
      <c r="E31" s="41" t="n">
        <v>22</v>
      </c>
      <c r="F31" s="38" t="n">
        <v>43</v>
      </c>
      <c r="G31" s="38" t="n">
        <v>37</v>
      </c>
      <c r="H31" s="38" t="n">
        <v>54</v>
      </c>
      <c r="I31" s="38" t="n">
        <v>58</v>
      </c>
      <c r="J31" s="38" t="n">
        <v>37</v>
      </c>
      <c r="K31" s="38" t="n">
        <v>57</v>
      </c>
      <c r="L31" s="38" t="n">
        <v>48</v>
      </c>
      <c r="M31" s="39" t="n">
        <v>374</v>
      </c>
      <c r="N31" s="41" t="n">
        <v>2</v>
      </c>
    </row>
    <row r="32" ht="20" customHeight="1">
      <c r="A32" s="29" t="inlineStr">
        <is>
          <t>2025CS029</t>
        </is>
      </c>
      <c r="B32" s="30" t="inlineStr">
        <is>
          <t>Tara Sundaram</t>
        </is>
      </c>
      <c r="C32" s="30" t="inlineStr">
        <is>
          <t>Computer Science &amp; Engineering</t>
        </is>
      </c>
      <c r="D32" s="31" t="n">
        <v>68</v>
      </c>
      <c r="E32" s="31" t="n">
        <v>74</v>
      </c>
      <c r="F32" s="31" t="n">
        <v>78</v>
      </c>
      <c r="G32" s="31" t="n">
        <v>59</v>
      </c>
      <c r="H32" s="31" t="n">
        <v>84</v>
      </c>
      <c r="I32" s="31" t="n">
        <v>84</v>
      </c>
      <c r="J32" s="31" t="n">
        <v>62</v>
      </c>
      <c r="K32" s="31" t="n">
        <v>82</v>
      </c>
      <c r="L32" s="31" t="n">
        <v>60</v>
      </c>
      <c r="M32" s="32" t="n">
        <v>651</v>
      </c>
      <c r="N32" s="58" t="n">
        <v>0</v>
      </c>
    </row>
    <row r="33" ht="20" customHeight="1">
      <c r="A33" s="36" t="inlineStr">
        <is>
          <t>2025CS030</t>
        </is>
      </c>
      <c r="B33" s="37" t="inlineStr">
        <is>
          <t>Manan Shah</t>
        </is>
      </c>
      <c r="C33" s="37" t="inlineStr">
        <is>
          <t>Computer Engineering</t>
        </is>
      </c>
      <c r="D33" s="38" t="n">
        <v>37</v>
      </c>
      <c r="E33" s="38" t="n">
        <v>38</v>
      </c>
      <c r="F33" s="41" t="n">
        <v>16</v>
      </c>
      <c r="G33" s="38" t="n">
        <v>52</v>
      </c>
      <c r="H33" s="38" t="n">
        <v>33</v>
      </c>
      <c r="I33" s="41" t="n">
        <v>20</v>
      </c>
      <c r="J33" s="38" t="n">
        <v>31</v>
      </c>
      <c r="K33" s="38" t="n">
        <v>45</v>
      </c>
      <c r="L33" s="41" t="n">
        <v>17</v>
      </c>
      <c r="M33" s="39" t="n">
        <v>289</v>
      </c>
      <c r="N33" s="41" t="n">
        <v>3</v>
      </c>
    </row>
    <row r="34" ht="20" customHeight="1">
      <c r="A34" s="29" t="inlineStr">
        <is>
          <t>2025CS031</t>
        </is>
      </c>
      <c r="B34" s="30" t="inlineStr">
        <is>
          <t>Ritika Agarwal</t>
        </is>
      </c>
      <c r="C34" s="30" t="inlineStr">
        <is>
          <t>Information Technology</t>
        </is>
      </c>
      <c r="D34" s="31" t="n">
        <v>56</v>
      </c>
      <c r="E34" s="31" t="n">
        <v>52</v>
      </c>
      <c r="F34" s="31" t="n">
        <v>39</v>
      </c>
      <c r="G34" s="31" t="n">
        <v>52</v>
      </c>
      <c r="H34" s="31" t="n">
        <v>57</v>
      </c>
      <c r="I34" s="31" t="n">
        <v>67</v>
      </c>
      <c r="J34" s="31" t="n">
        <v>60</v>
      </c>
      <c r="K34" s="31" t="n">
        <v>69</v>
      </c>
      <c r="L34" s="31" t="n">
        <v>56</v>
      </c>
      <c r="M34" s="32" t="n">
        <v>508</v>
      </c>
      <c r="N34" s="58" t="n">
        <v>0</v>
      </c>
    </row>
    <row r="35" ht="20" customHeight="1">
      <c r="A35" s="36" t="inlineStr">
        <is>
          <t>2025CS032</t>
        </is>
      </c>
      <c r="B35" s="37" t="inlineStr">
        <is>
          <t>Ayush Trivedi</t>
        </is>
      </c>
      <c r="C35" s="37" t="inlineStr">
        <is>
          <t>Computer Science &amp; Engineering</t>
        </is>
      </c>
      <c r="D35" s="38" t="n">
        <v>89</v>
      </c>
      <c r="E35" s="38" t="n">
        <v>83</v>
      </c>
      <c r="F35" s="38" t="n">
        <v>81</v>
      </c>
      <c r="G35" s="38" t="n">
        <v>93</v>
      </c>
      <c r="H35" s="38" t="n">
        <v>95</v>
      </c>
      <c r="I35" s="38" t="n">
        <v>80</v>
      </c>
      <c r="J35" s="38" t="n">
        <v>83</v>
      </c>
      <c r="K35" s="38" t="n">
        <v>89</v>
      </c>
      <c r="L35" s="38" t="n">
        <v>86</v>
      </c>
      <c r="M35" s="39" t="n">
        <v>779</v>
      </c>
      <c r="N35" s="60" t="n">
        <v>0</v>
      </c>
    </row>
    <row r="36" ht="20" customHeight="1">
      <c r="A36" s="29" t="inlineStr">
        <is>
          <t>2025CS033</t>
        </is>
      </c>
      <c r="B36" s="30" t="inlineStr">
        <is>
          <t>Bhavna Choudhary</t>
        </is>
      </c>
      <c r="C36" s="30" t="inlineStr">
        <is>
          <t>Artificial Intelligence &amp; DS</t>
        </is>
      </c>
      <c r="D36" s="31" t="n">
        <v>69</v>
      </c>
      <c r="E36" s="31" t="n">
        <v>78</v>
      </c>
      <c r="F36" s="31" t="n">
        <v>77</v>
      </c>
      <c r="G36" s="41" t="n">
        <v>19</v>
      </c>
      <c r="H36" s="31" t="n">
        <v>58</v>
      </c>
      <c r="I36" s="31" t="n">
        <v>62</v>
      </c>
      <c r="J36" s="31" t="n">
        <v>39</v>
      </c>
      <c r="K36" s="31" t="n">
        <v>77</v>
      </c>
      <c r="L36" s="31" t="n">
        <v>56</v>
      </c>
      <c r="M36" s="32" t="n">
        <v>535</v>
      </c>
      <c r="N36" s="41" t="n">
        <v>1</v>
      </c>
    </row>
    <row r="37" ht="20" customHeight="1">
      <c r="A37" s="36" t="inlineStr">
        <is>
          <t>2025CS034</t>
        </is>
      </c>
      <c r="B37" s="37" t="inlineStr">
        <is>
          <t>Dhruv Mathur</t>
        </is>
      </c>
      <c r="C37" s="37" t="inlineStr">
        <is>
          <t>Computer Science &amp; Engineering</t>
        </is>
      </c>
      <c r="D37" s="38" t="n">
        <v>70</v>
      </c>
      <c r="E37" s="38" t="n">
        <v>43</v>
      </c>
      <c r="F37" s="38" t="n">
        <v>47</v>
      </c>
      <c r="G37" s="38" t="n">
        <v>61</v>
      </c>
      <c r="H37" s="38" t="n">
        <v>59</v>
      </c>
      <c r="I37" s="38" t="n">
        <v>46</v>
      </c>
      <c r="J37" s="38" t="n">
        <v>71</v>
      </c>
      <c r="K37" s="38" t="n">
        <v>54</v>
      </c>
      <c r="L37" s="38" t="n">
        <v>60</v>
      </c>
      <c r="M37" s="39" t="n">
        <v>511</v>
      </c>
      <c r="N37" s="60" t="n">
        <v>0</v>
      </c>
    </row>
    <row r="38" ht="20" customHeight="1">
      <c r="A38" s="29" t="inlineStr">
        <is>
          <t>2025CS035</t>
        </is>
      </c>
      <c r="B38" s="30" t="inlineStr">
        <is>
          <t>Esha Venkatesh</t>
        </is>
      </c>
      <c r="C38" s="30" t="inlineStr">
        <is>
          <t>Information Technology</t>
        </is>
      </c>
      <c r="D38" s="31" t="n">
        <v>74</v>
      </c>
      <c r="E38" s="31" t="n">
        <v>75</v>
      </c>
      <c r="F38" s="31" t="n">
        <v>65</v>
      </c>
      <c r="G38" s="31" t="n">
        <v>69</v>
      </c>
      <c r="H38" s="31" t="n">
        <v>69</v>
      </c>
      <c r="I38" s="31" t="n">
        <v>69</v>
      </c>
      <c r="J38" s="31" t="n">
        <v>76</v>
      </c>
      <c r="K38" s="31" t="n">
        <v>61</v>
      </c>
      <c r="L38" s="31" t="n">
        <v>71</v>
      </c>
      <c r="M38" s="32" t="n">
        <v>629</v>
      </c>
      <c r="N38" s="58" t="n">
        <v>0</v>
      </c>
    </row>
    <row r="39" ht="20" customHeight="1">
      <c r="A39" s="36" t="inlineStr">
        <is>
          <t>2025CS036</t>
        </is>
      </c>
      <c r="B39" s="37" t="inlineStr">
        <is>
          <t>Farhan Akhtar</t>
        </is>
      </c>
      <c r="C39" s="37" t="inlineStr">
        <is>
          <t>Computer Engineering</t>
        </is>
      </c>
      <c r="D39" s="38" t="n">
        <v>49</v>
      </c>
      <c r="E39" s="38" t="n">
        <v>47</v>
      </c>
      <c r="F39" s="38" t="n">
        <v>44</v>
      </c>
      <c r="G39" s="38" t="n">
        <v>36</v>
      </c>
      <c r="H39" s="38" t="n">
        <v>37</v>
      </c>
      <c r="I39" s="38" t="n">
        <v>50</v>
      </c>
      <c r="J39" s="38" t="n">
        <v>65</v>
      </c>
      <c r="K39" s="38" t="n">
        <v>39</v>
      </c>
      <c r="L39" s="38" t="n">
        <v>64</v>
      </c>
      <c r="M39" s="39" t="n">
        <v>431</v>
      </c>
      <c r="N39" s="60" t="n">
        <v>0</v>
      </c>
    </row>
    <row r="40" ht="20" customHeight="1">
      <c r="A40" s="29" t="inlineStr">
        <is>
          <t>2025CS037</t>
        </is>
      </c>
      <c r="B40" s="30" t="inlineStr">
        <is>
          <t>Gargi Samant</t>
        </is>
      </c>
      <c r="C40" s="30" t="inlineStr">
        <is>
          <t>Artificial Intelligence &amp; DS</t>
        </is>
      </c>
      <c r="D40" s="31" t="n">
        <v>82</v>
      </c>
      <c r="E40" s="31" t="n">
        <v>77</v>
      </c>
      <c r="F40" s="31" t="n">
        <v>74</v>
      </c>
      <c r="G40" s="31" t="n">
        <v>90</v>
      </c>
      <c r="H40" s="31" t="n">
        <v>92</v>
      </c>
      <c r="I40" s="31" t="n">
        <v>70</v>
      </c>
      <c r="J40" s="31" t="n">
        <v>98</v>
      </c>
      <c r="K40" s="31" t="n">
        <v>94</v>
      </c>
      <c r="L40" s="31" t="n">
        <v>97</v>
      </c>
      <c r="M40" s="32" t="n">
        <v>774</v>
      </c>
      <c r="N40" s="58" t="n">
        <v>0</v>
      </c>
    </row>
    <row r="41" ht="20" customHeight="1">
      <c r="A41" s="36" t="inlineStr">
        <is>
          <t>2025CS038</t>
        </is>
      </c>
      <c r="B41" s="37" t="inlineStr">
        <is>
          <t>Himanshu Pandey</t>
        </is>
      </c>
      <c r="C41" s="37" t="inlineStr">
        <is>
          <t>Computer Science &amp; Engineering</t>
        </is>
      </c>
      <c r="D41" s="38" t="n">
        <v>50</v>
      </c>
      <c r="E41" s="38" t="n">
        <v>42</v>
      </c>
      <c r="F41" s="38" t="n">
        <v>64</v>
      </c>
      <c r="G41" s="38" t="n">
        <v>43</v>
      </c>
      <c r="H41" s="38" t="n">
        <v>64</v>
      </c>
      <c r="I41" s="41" t="n">
        <v>26</v>
      </c>
      <c r="J41" s="41" t="n">
        <v>24</v>
      </c>
      <c r="K41" s="38" t="n">
        <v>70</v>
      </c>
      <c r="L41" s="38" t="n">
        <v>73</v>
      </c>
      <c r="M41" s="39" t="n">
        <v>456</v>
      </c>
      <c r="N41" s="41" t="n">
        <v>2</v>
      </c>
    </row>
    <row r="42" ht="20" customHeight="1">
      <c r="A42" s="29" t="inlineStr">
        <is>
          <t>2025CS039</t>
        </is>
      </c>
      <c r="B42" s="30" t="inlineStr">
        <is>
          <t>Ishita Bose</t>
        </is>
      </c>
      <c r="C42" s="30" t="inlineStr">
        <is>
          <t>Information Technology</t>
        </is>
      </c>
      <c r="D42" s="31" t="n">
        <v>71</v>
      </c>
      <c r="E42" s="31" t="n">
        <v>68</v>
      </c>
      <c r="F42" s="31" t="n">
        <v>81</v>
      </c>
      <c r="G42" s="31" t="n">
        <v>84</v>
      </c>
      <c r="H42" s="31" t="n">
        <v>72</v>
      </c>
      <c r="I42" s="31" t="n">
        <v>69</v>
      </c>
      <c r="J42" s="31" t="n">
        <v>83</v>
      </c>
      <c r="K42" s="31" t="n">
        <v>60</v>
      </c>
      <c r="L42" s="31" t="n">
        <v>78</v>
      </c>
      <c r="M42" s="32" t="n">
        <v>666</v>
      </c>
      <c r="N42" s="58" t="n">
        <v>0</v>
      </c>
    </row>
    <row r="43" ht="20" customHeight="1">
      <c r="A43" s="36" t="inlineStr">
        <is>
          <t>2025CS040</t>
        </is>
      </c>
      <c r="B43" s="37" t="inlineStr">
        <is>
          <t>Jayant Nanda</t>
        </is>
      </c>
      <c r="C43" s="37" t="inlineStr">
        <is>
          <t>Computer Science &amp; Engineering</t>
        </is>
      </c>
      <c r="D43" s="38" t="n">
        <v>63</v>
      </c>
      <c r="E43" s="38" t="n">
        <v>39</v>
      </c>
      <c r="F43" s="38" t="n">
        <v>53</v>
      </c>
      <c r="G43" s="38" t="n">
        <v>50</v>
      </c>
      <c r="H43" s="38" t="n">
        <v>52</v>
      </c>
      <c r="I43" s="38" t="n">
        <v>56</v>
      </c>
      <c r="J43" s="38" t="n">
        <v>55</v>
      </c>
      <c r="K43" s="38" t="n">
        <v>69</v>
      </c>
      <c r="L43" s="38" t="n">
        <v>40</v>
      </c>
      <c r="M43" s="39" t="n">
        <v>477</v>
      </c>
      <c r="N43" s="60" t="n">
        <v>0</v>
      </c>
    </row>
    <row r="44" ht="20" customHeight="1">
      <c r="A44" s="29" t="inlineStr">
        <is>
          <t>2025CS041</t>
        </is>
      </c>
      <c r="B44" s="30" t="inlineStr">
        <is>
          <t>Kriti Sanon</t>
        </is>
      </c>
      <c r="C44" s="30" t="inlineStr">
        <is>
          <t>Artificial Intelligence &amp; DS</t>
        </is>
      </c>
      <c r="D44" s="31" t="n">
        <v>83</v>
      </c>
      <c r="E44" s="31" t="n">
        <v>83</v>
      </c>
      <c r="F44" s="31" t="n">
        <v>80</v>
      </c>
      <c r="G44" s="31" t="n">
        <v>87</v>
      </c>
      <c r="H44" s="31" t="n">
        <v>84</v>
      </c>
      <c r="I44" s="31" t="n">
        <v>83</v>
      </c>
      <c r="J44" s="31" t="n">
        <v>71</v>
      </c>
      <c r="K44" s="31" t="n">
        <v>76</v>
      </c>
      <c r="L44" s="31" t="n">
        <v>96</v>
      </c>
      <c r="M44" s="32" t="n">
        <v>743</v>
      </c>
      <c r="N44" s="58" t="n">
        <v>0</v>
      </c>
    </row>
    <row r="45" ht="20" customHeight="1">
      <c r="A45" s="36" t="inlineStr">
        <is>
          <t>2025CS042</t>
        </is>
      </c>
      <c r="B45" s="37" t="inlineStr">
        <is>
          <t>Lakshya Singhal</t>
        </is>
      </c>
      <c r="C45" s="37" t="inlineStr">
        <is>
          <t>Information Technology</t>
        </is>
      </c>
      <c r="D45" s="38" t="n">
        <v>41</v>
      </c>
      <c r="E45" s="41" t="n">
        <v>18</v>
      </c>
      <c r="F45" s="38" t="n">
        <v>42</v>
      </c>
      <c r="G45" s="38" t="n">
        <v>43</v>
      </c>
      <c r="H45" s="41" t="n">
        <v>22</v>
      </c>
      <c r="I45" s="38" t="n">
        <v>47</v>
      </c>
      <c r="J45" s="38" t="n">
        <v>49</v>
      </c>
      <c r="K45" s="38" t="n">
        <v>37</v>
      </c>
      <c r="L45" s="38" t="n">
        <v>45</v>
      </c>
      <c r="M45" s="39" t="n">
        <v>344</v>
      </c>
      <c r="N45" s="41" t="n">
        <v>2</v>
      </c>
    </row>
    <row r="46" ht="20" customHeight="1">
      <c r="A46" s="29" t="inlineStr">
        <is>
          <t>2025CS043</t>
        </is>
      </c>
      <c r="B46" s="30" t="inlineStr">
        <is>
          <t>Maya Krishnan</t>
        </is>
      </c>
      <c r="C46" s="30" t="inlineStr">
        <is>
          <t>Computer Science &amp; Engineering</t>
        </is>
      </c>
      <c r="D46" s="31" t="n">
        <v>80</v>
      </c>
      <c r="E46" s="31" t="n">
        <v>67</v>
      </c>
      <c r="F46" s="31" t="n">
        <v>78</v>
      </c>
      <c r="G46" s="31" t="n">
        <v>60</v>
      </c>
      <c r="H46" s="31" t="n">
        <v>81</v>
      </c>
      <c r="I46" s="31" t="n">
        <v>69</v>
      </c>
      <c r="J46" s="31" t="n">
        <v>84</v>
      </c>
      <c r="K46" s="31" t="n">
        <v>59</v>
      </c>
      <c r="L46" s="31" t="n">
        <v>74</v>
      </c>
      <c r="M46" s="32" t="n">
        <v>652</v>
      </c>
      <c r="N46" s="58" t="n">
        <v>0</v>
      </c>
    </row>
    <row r="47" ht="20" customHeight="1">
      <c r="A47" s="36" t="inlineStr">
        <is>
          <t>2025CS044</t>
        </is>
      </c>
      <c r="B47" s="37" t="inlineStr">
        <is>
          <t>Nakul Shenoy</t>
        </is>
      </c>
      <c r="C47" s="37" t="inlineStr">
        <is>
          <t>Computer Engineering</t>
        </is>
      </c>
      <c r="D47" s="38" t="n">
        <v>62</v>
      </c>
      <c r="E47" s="38" t="n">
        <v>43</v>
      </c>
      <c r="F47" s="38" t="n">
        <v>64</v>
      </c>
      <c r="G47" s="38" t="n">
        <v>46</v>
      </c>
      <c r="H47" s="38" t="n">
        <v>38</v>
      </c>
      <c r="I47" s="38" t="n">
        <v>51</v>
      </c>
      <c r="J47" s="38" t="n">
        <v>59</v>
      </c>
      <c r="K47" s="41" t="n">
        <v>21</v>
      </c>
      <c r="L47" s="38" t="n">
        <v>48</v>
      </c>
      <c r="M47" s="39" t="n">
        <v>432</v>
      </c>
      <c r="N47" s="41" t="n">
        <v>1</v>
      </c>
    </row>
    <row r="48" ht="20" customHeight="1">
      <c r="A48" s="29" t="inlineStr">
        <is>
          <t>2025CS045</t>
        </is>
      </c>
      <c r="B48" s="30" t="inlineStr">
        <is>
          <t>Ojasvi Bhatia</t>
        </is>
      </c>
      <c r="C48" s="30" t="inlineStr">
        <is>
          <t>Artificial Intelligence &amp; DS</t>
        </is>
      </c>
      <c r="D48" s="31" t="n">
        <v>83</v>
      </c>
      <c r="E48" s="31" t="n">
        <v>78</v>
      </c>
      <c r="F48" s="31" t="n">
        <v>96</v>
      </c>
      <c r="G48" s="31" t="n">
        <v>72</v>
      </c>
      <c r="H48" s="31" t="n">
        <v>85</v>
      </c>
      <c r="I48" s="31" t="n">
        <v>70</v>
      </c>
      <c r="J48" s="31" t="n">
        <v>93</v>
      </c>
      <c r="K48" s="31" t="n">
        <v>87</v>
      </c>
      <c r="L48" s="31" t="n">
        <v>71</v>
      </c>
      <c r="M48" s="32" t="n">
        <v>735</v>
      </c>
      <c r="N48" s="58" t="n">
        <v>0</v>
      </c>
    </row>
    <row r="49" ht="20" customHeight="1">
      <c r="A49" s="36" t="inlineStr">
        <is>
          <t>2025CS046</t>
        </is>
      </c>
      <c r="B49" s="37" t="inlineStr">
        <is>
          <t>Parth Soman</t>
        </is>
      </c>
      <c r="C49" s="37" t="inlineStr">
        <is>
          <t>Information Technology</t>
        </is>
      </c>
      <c r="D49" s="38" t="n">
        <v>50</v>
      </c>
      <c r="E49" s="38" t="n">
        <v>43</v>
      </c>
      <c r="F49" s="38" t="n">
        <v>65</v>
      </c>
      <c r="G49" s="38" t="n">
        <v>42</v>
      </c>
      <c r="H49" s="38" t="n">
        <v>71</v>
      </c>
      <c r="I49" s="38" t="n">
        <v>48</v>
      </c>
      <c r="J49" s="38" t="n">
        <v>64</v>
      </c>
      <c r="K49" s="38" t="n">
        <v>51</v>
      </c>
      <c r="L49" s="38" t="n">
        <v>58</v>
      </c>
      <c r="M49" s="39" t="n">
        <v>492</v>
      </c>
      <c r="N49" s="60" t="n">
        <v>0</v>
      </c>
    </row>
    <row r="50" ht="20" customHeight="1">
      <c r="A50" s="29" t="inlineStr">
        <is>
          <t>2025CS047</t>
        </is>
      </c>
      <c r="B50" s="30" t="inlineStr">
        <is>
          <t>Radhika Apte</t>
        </is>
      </c>
      <c r="C50" s="30" t="inlineStr">
        <is>
          <t>Computer Science &amp; Engineering</t>
        </is>
      </c>
      <c r="D50" s="31" t="n">
        <v>60</v>
      </c>
      <c r="E50" s="31" t="n">
        <v>85</v>
      </c>
      <c r="F50" s="31" t="n">
        <v>64</v>
      </c>
      <c r="G50" s="31" t="n">
        <v>58</v>
      </c>
      <c r="H50" s="31" t="n">
        <v>73</v>
      </c>
      <c r="I50" s="31" t="n">
        <v>55</v>
      </c>
      <c r="J50" s="31" t="n">
        <v>84</v>
      </c>
      <c r="K50" s="31" t="n">
        <v>64</v>
      </c>
      <c r="L50" s="31" t="n">
        <v>73</v>
      </c>
      <c r="M50" s="32" t="n">
        <v>616</v>
      </c>
      <c r="N50" s="58" t="n">
        <v>0</v>
      </c>
    </row>
    <row r="51" ht="20" customHeight="1">
      <c r="A51" s="36" t="inlineStr">
        <is>
          <t>2025CS048</t>
        </is>
      </c>
      <c r="B51" s="37" t="inlineStr">
        <is>
          <t>Sameer Kadam</t>
        </is>
      </c>
      <c r="C51" s="37" t="inlineStr">
        <is>
          <t>Computer Engineering</t>
        </is>
      </c>
      <c r="D51" s="38" t="n">
        <v>71</v>
      </c>
      <c r="E51" s="38" t="n">
        <v>37</v>
      </c>
      <c r="F51" s="38" t="n">
        <v>57</v>
      </c>
      <c r="G51" s="38" t="n">
        <v>69</v>
      </c>
      <c r="H51" s="38" t="n">
        <v>62</v>
      </c>
      <c r="I51" s="38" t="n">
        <v>58</v>
      </c>
      <c r="J51" s="38" t="n">
        <v>39</v>
      </c>
      <c r="K51" s="38" t="n">
        <v>67</v>
      </c>
      <c r="L51" s="38" t="n">
        <v>56</v>
      </c>
      <c r="M51" s="39" t="n">
        <v>516</v>
      </c>
      <c r="N51" s="60" t="n">
        <v>0</v>
      </c>
    </row>
    <row r="52" ht="20" customHeight="1">
      <c r="A52" s="29" t="inlineStr">
        <is>
          <t>2025CS049</t>
        </is>
      </c>
      <c r="B52" s="30" t="inlineStr">
        <is>
          <t>Trisha Mukherjee</t>
        </is>
      </c>
      <c r="C52" s="30" t="inlineStr">
        <is>
          <t>Information Technology</t>
        </is>
      </c>
      <c r="D52" s="31" t="n">
        <v>62</v>
      </c>
      <c r="E52" s="31" t="n">
        <v>46</v>
      </c>
      <c r="F52" s="31" t="n">
        <v>68</v>
      </c>
      <c r="G52" s="31" t="n">
        <v>76</v>
      </c>
      <c r="H52" s="31" t="n">
        <v>52</v>
      </c>
      <c r="I52" s="31" t="n">
        <v>74</v>
      </c>
      <c r="J52" s="31" t="n">
        <v>69</v>
      </c>
      <c r="K52" s="31" t="n">
        <v>65</v>
      </c>
      <c r="L52" s="41" t="n">
        <v>23</v>
      </c>
      <c r="M52" s="32" t="n">
        <v>535</v>
      </c>
      <c r="N52" s="41" t="n">
        <v>1</v>
      </c>
    </row>
    <row r="53" ht="20" customHeight="1">
      <c r="A53" s="36" t="inlineStr">
        <is>
          <t>2025CS050</t>
        </is>
      </c>
      <c r="B53" s="37" t="inlineStr">
        <is>
          <t>Utkarsh Dixit</t>
        </is>
      </c>
      <c r="C53" s="37" t="inlineStr">
        <is>
          <t>Computer Science &amp; Engineering</t>
        </is>
      </c>
      <c r="D53" s="38" t="n">
        <v>44</v>
      </c>
      <c r="E53" s="41" t="n">
        <v>17</v>
      </c>
      <c r="F53" s="38" t="n">
        <v>44</v>
      </c>
      <c r="G53" s="41" t="n">
        <v>23</v>
      </c>
      <c r="H53" s="38" t="n">
        <v>49</v>
      </c>
      <c r="I53" s="38" t="n">
        <v>51</v>
      </c>
      <c r="J53" s="38" t="n">
        <v>42</v>
      </c>
      <c r="K53" s="38" t="n">
        <v>40</v>
      </c>
      <c r="L53" s="38" t="n">
        <v>30</v>
      </c>
      <c r="M53" s="39" t="n">
        <v>340</v>
      </c>
      <c r="N53" s="41" t="n">
        <v>2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2026-10-13T05:34:11Z</dcterms:created>
  <dcterms:modified xsi:type="dcterms:W3CDTF">2026-10-13T05:34:11Z</dcterms:modified>
</cp:coreProperties>
</file>